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showPivotChartFilter="1" defaultThemeVersion="124226"/>
  <mc:AlternateContent xmlns:mc="http://schemas.openxmlformats.org/markup-compatibility/2006">
    <mc:Choice Requires="x15">
      <x15ac:absPath xmlns:x15ac="http://schemas.microsoft.com/office/spreadsheetml/2010/11/ac" url="D:\Data Analyst\Data_Analyst_Daily_Lecture\Advance_Excel\"/>
    </mc:Choice>
  </mc:AlternateContent>
  <xr:revisionPtr revIDLastSave="0" documentId="13_ncr:1_{B033AD05-8ED4-4627-A8B0-C030B6BD8D91}" xr6:coauthVersionLast="47" xr6:coauthVersionMax="47" xr10:uidLastSave="{00000000-0000-0000-0000-000000000000}"/>
  <bookViews>
    <workbookView xWindow="14400" yWindow="3465" windowWidth="14370" windowHeight="11385" tabRatio="740" firstSheet="27" activeTab="29" xr2:uid="{00000000-000D-0000-FFFF-FFFF00000000}"/>
  </bookViews>
  <sheets>
    <sheet name="Functions" sheetId="13" r:id="rId1"/>
    <sheet name="Rating" sheetId="14" r:id="rId2"/>
    <sheet name="Income Tax" sheetId="15" r:id="rId3"/>
    <sheet name="Sales" sheetId="16" r:id="rId4"/>
    <sheet name="Single Formula" sheetId="69" r:id="rId5"/>
    <sheet name="Restricting Data Entry" sheetId="71" r:id="rId6"/>
    <sheet name="Date Conversions" sheetId="72" r:id="rId7"/>
    <sheet name="Employee Age Calculation" sheetId="74" r:id="rId8"/>
    <sheet name="Text Cleanup" sheetId="75" r:id="rId9"/>
    <sheet name="Project End Date" sheetId="66" r:id="rId10"/>
    <sheet name="Project Working Days" sheetId="67" r:id="rId11"/>
    <sheet name="Extract Data" sheetId="19" r:id="rId12"/>
    <sheet name="Index+Match" sheetId="88" r:id="rId13"/>
    <sheet name="Data Set 1" sheetId="77" r:id="rId14"/>
    <sheet name="Data Set 2" sheetId="78" r:id="rId15"/>
    <sheet name="Data Set3" sheetId="79" r:id="rId16"/>
    <sheet name="Final Data" sheetId="80" r:id="rId17"/>
    <sheet name="IS Functions" sheetId="84" r:id="rId18"/>
    <sheet name="Random Numbers &amp; Rank" sheetId="89" r:id="rId19"/>
    <sheet name="Simple Offset" sheetId="82" r:id="rId20"/>
    <sheet name="Tax Rate" sheetId="20" r:id="rId21"/>
    <sheet name="Text Functions" sheetId="90" r:id="rId22"/>
    <sheet name="Filters" sheetId="21" r:id="rId23"/>
    <sheet name="Calculate EMI" sheetId="22" r:id="rId24"/>
    <sheet name="Ref" sheetId="23" r:id="rId25"/>
    <sheet name="Product Costing" sheetId="81" r:id="rId26"/>
    <sheet name="General" sheetId="24" r:id="rId27"/>
    <sheet name="Multiple Criteria Totals" sheetId="48" r:id="rId28"/>
    <sheet name="Sheet4" sheetId="95" r:id="rId29"/>
    <sheet name="Macro" sheetId="96" r:id="rId30"/>
    <sheet name="One variable table" sheetId="29" r:id="rId31"/>
    <sheet name="Two Variable Table" sheetId="30" r:id="rId32"/>
    <sheet name="Group_Ungroup_Subtotal" sheetId="39" r:id="rId33"/>
    <sheet name="Dependent Filters" sheetId="85" r:id="rId34"/>
    <sheet name="Conditional Formatting (I)" sheetId="86" r:id="rId35"/>
    <sheet name="Conditional Formatting (II)" sheetId="87" r:id="rId36"/>
    <sheet name="Sheet3" sheetId="93" r:id="rId37"/>
    <sheet name="Sheet2" sheetId="92" r:id="rId38"/>
    <sheet name="Sheet1" sheetId="94" r:id="rId39"/>
    <sheet name="Pivot Table" sheetId="32" r:id="rId40"/>
  </sheets>
  <definedNames>
    <definedName name="_xlnm._FilterDatabase" localSheetId="34" hidden="1">'Conditional Formatting (I)'!$A$1:$H$10</definedName>
    <definedName name="_xlnm._FilterDatabase" localSheetId="22" hidden="1">Filters!$A$1:$J$95</definedName>
    <definedName name="_xlnm._FilterDatabase" localSheetId="25" hidden="1">'Product Costing'!$A$1:$J$31</definedName>
    <definedName name="_xlcn.WorksheetConnection_PivotTableA1N311" hidden="1">'Pivot Table'!$A$1:$N$31</definedName>
    <definedName name="Col">'Dependent Filters'!$A$1:$E$1</definedName>
    <definedName name="Column">'Dependent Filters'!$A$1:$E$1</definedName>
    <definedName name="Columns">'Dependent Filters'!$A$1:$E$1</definedName>
    <definedName name="Finance">'Dependent Filters'!$C$2:$C$4</definedName>
    <definedName name="Healthcare">'Dependent Filters'!$D$2:$D$3</definedName>
    <definedName name="HR">'Dependent Filters'!$A$2:$A$4</definedName>
    <definedName name="IT">'Dependent Filters'!$E$2:$E$6</definedName>
    <definedName name="Marketing">'Dependent Filters'!$B$2:$B$5</definedName>
    <definedName name="Slicer_Area">#N/A</definedName>
    <definedName name="Slicer_Month">#N/A</definedName>
    <definedName name="Slicer_Product_Name1">#N/A</definedName>
    <definedName name="Slicer_Region">#N/A</definedName>
    <definedName name="Tab_1">'Data Set 1'!$A$1:$H$29</definedName>
    <definedName name="Tab_2">'Data Set 2'!$A$1:$H$30</definedName>
    <definedName name="Tab_3">'Data Set3'!$A$1:$H$38</definedName>
  </definedNames>
  <calcPr calcId="191029"/>
  <customWorkbookViews>
    <customWorkbookView name="Jayanth - Personal View" guid="{BBE43EB8-AC5B-419E-90E4-72D0C525AF66}" mergeInterval="0" personalView="1" maximized="1" xWindow="1" yWindow="1" windowWidth="1024" windowHeight="550" activeSheetId="18"/>
  </customWorkbookViews>
  <pivotCaches>
    <pivotCache cacheId="0" r:id="rId41"/>
    <pivotCache cacheId="1" r:id="rId42"/>
  </pivotCaches>
  <extLst>
    <ext xmlns:x14="http://schemas.microsoft.com/office/spreadsheetml/2009/9/main" uri="{876F7934-8845-4945-9796-88D515C7AA90}">
      <x14:pivotCaches>
        <pivotCache cacheId="2" r:id="rId43"/>
      </x14:pivotCaches>
    </ext>
    <ext xmlns:x14="http://schemas.microsoft.com/office/spreadsheetml/2009/9/main" uri="{BBE1A952-AA13-448e-AADC-164F8A28A991}">
      <x14:slicerCaches>
        <x14:slicerCache r:id="rId44"/>
        <x14:slicerCache r:id="rId45"/>
        <x14:slicerCache r:id="rId46"/>
        <x14:slicerCache r:id="rId4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Pivot Table!$A$1:$N$3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5" i="96" l="1"/>
  <c r="O3" i="96"/>
  <c r="O4" i="96"/>
  <c r="O2" i="96"/>
  <c r="N5" i="96"/>
  <c r="M5" i="96"/>
  <c r="M3" i="96"/>
  <c r="N3" i="96"/>
  <c r="M4" i="96"/>
  <c r="N4" i="96"/>
  <c r="N2" i="96"/>
  <c r="M2" i="96"/>
  <c r="D564" i="96"/>
  <c r="D563" i="96"/>
  <c r="D562" i="96"/>
  <c r="D561" i="96"/>
  <c r="D560" i="96"/>
  <c r="D559" i="96"/>
  <c r="D558" i="96"/>
  <c r="D557" i="96"/>
  <c r="D556" i="96"/>
  <c r="D555" i="96"/>
  <c r="D554" i="96"/>
  <c r="D553" i="96"/>
  <c r="D552" i="96"/>
  <c r="D551" i="96"/>
  <c r="D550" i="96"/>
  <c r="D549" i="96"/>
  <c r="D548" i="96"/>
  <c r="D547" i="96"/>
  <c r="D546" i="96"/>
  <c r="D545" i="96"/>
  <c r="D544" i="96"/>
  <c r="D543" i="96"/>
  <c r="D542" i="96"/>
  <c r="D541" i="96"/>
  <c r="D540" i="96"/>
  <c r="D539" i="96"/>
  <c r="D538" i="96"/>
  <c r="D537" i="96"/>
  <c r="D536" i="96"/>
  <c r="D535" i="96"/>
  <c r="D534" i="96"/>
  <c r="D533" i="96"/>
  <c r="D532" i="96"/>
  <c r="D531" i="96"/>
  <c r="D530" i="96"/>
  <c r="D529" i="96"/>
  <c r="D528" i="96"/>
  <c r="D527" i="96"/>
  <c r="D526" i="96"/>
  <c r="D525" i="96"/>
  <c r="D524" i="96"/>
  <c r="D523" i="96"/>
  <c r="D522" i="96"/>
  <c r="D521" i="96"/>
  <c r="D520" i="96"/>
  <c r="D519" i="96"/>
  <c r="D518" i="96"/>
  <c r="D517" i="96"/>
  <c r="D516" i="96"/>
  <c r="D515" i="96"/>
  <c r="D514" i="96"/>
  <c r="D513" i="96"/>
  <c r="D512" i="96"/>
  <c r="D511" i="96"/>
  <c r="D510" i="96"/>
  <c r="D509" i="96"/>
  <c r="D508" i="96"/>
  <c r="D507" i="96"/>
  <c r="D506" i="96"/>
  <c r="D505" i="96"/>
  <c r="D504" i="96"/>
  <c r="D503" i="96"/>
  <c r="D502" i="96"/>
  <c r="D501" i="96"/>
  <c r="D500" i="96"/>
  <c r="D499" i="96"/>
  <c r="D498" i="96"/>
  <c r="D497" i="96"/>
  <c r="D496" i="96"/>
  <c r="D495" i="96"/>
  <c r="D494" i="96"/>
  <c r="D493" i="96"/>
  <c r="D492" i="96"/>
  <c r="D491" i="96"/>
  <c r="D490" i="96"/>
  <c r="D489" i="96"/>
  <c r="D488" i="96"/>
  <c r="D487" i="96"/>
  <c r="D486" i="96"/>
  <c r="D485" i="96"/>
  <c r="D484" i="96"/>
  <c r="D483" i="96"/>
  <c r="D482" i="96"/>
  <c r="D481" i="96"/>
  <c r="D480" i="96"/>
  <c r="D479" i="96"/>
  <c r="D478" i="96"/>
  <c r="D477" i="96"/>
  <c r="D476" i="96"/>
  <c r="D475" i="96"/>
  <c r="D474" i="96"/>
  <c r="D473" i="96"/>
  <c r="D472" i="96"/>
  <c r="D471" i="96"/>
  <c r="D470" i="96"/>
  <c r="D469" i="96"/>
  <c r="D468" i="96"/>
  <c r="D467" i="96"/>
  <c r="D466" i="96"/>
  <c r="D465" i="96"/>
  <c r="D464" i="96"/>
  <c r="D463" i="96"/>
  <c r="D462" i="96"/>
  <c r="D461" i="96"/>
  <c r="D460" i="96"/>
  <c r="D459" i="96"/>
  <c r="D458" i="96"/>
  <c r="D457" i="96"/>
  <c r="D456" i="96"/>
  <c r="D455" i="96"/>
  <c r="D454" i="96"/>
  <c r="D453" i="96"/>
  <c r="D452" i="96"/>
  <c r="D451" i="96"/>
  <c r="D450" i="96"/>
  <c r="D449" i="96"/>
  <c r="D448" i="96"/>
  <c r="D447" i="96"/>
  <c r="D446" i="96"/>
  <c r="D445" i="96"/>
  <c r="D444" i="96"/>
  <c r="D443" i="96"/>
  <c r="D442" i="96"/>
  <c r="D441" i="96"/>
  <c r="D440" i="96"/>
  <c r="D439" i="96"/>
  <c r="D438" i="96"/>
  <c r="D437" i="96"/>
  <c r="D436" i="96"/>
  <c r="D435" i="96"/>
  <c r="D434" i="96"/>
  <c r="D433" i="96"/>
  <c r="D432" i="96"/>
  <c r="D431" i="96"/>
  <c r="D430" i="96"/>
  <c r="D429" i="96"/>
  <c r="D428" i="96"/>
  <c r="D427" i="96"/>
  <c r="D426" i="96"/>
  <c r="D425" i="96"/>
  <c r="D424" i="96"/>
  <c r="D423" i="96"/>
  <c r="D422" i="96"/>
  <c r="D421" i="96"/>
  <c r="D420" i="96"/>
  <c r="D419" i="96"/>
  <c r="D418" i="96"/>
  <c r="D417" i="96"/>
  <c r="D416" i="96"/>
  <c r="D415" i="96"/>
  <c r="D414" i="96"/>
  <c r="D413" i="96"/>
  <c r="D412" i="96"/>
  <c r="D411" i="96"/>
  <c r="D410" i="96"/>
  <c r="D409" i="96"/>
  <c r="D408" i="96"/>
  <c r="D407" i="96"/>
  <c r="D406" i="96"/>
  <c r="D405" i="96"/>
  <c r="D404" i="96"/>
  <c r="D403" i="96"/>
  <c r="D402" i="96"/>
  <c r="D401" i="96"/>
  <c r="D400" i="96"/>
  <c r="D399" i="96"/>
  <c r="D398" i="96"/>
  <c r="D397" i="96"/>
  <c r="D396" i="96"/>
  <c r="D395" i="96"/>
  <c r="D394" i="96"/>
  <c r="D393" i="96"/>
  <c r="D392" i="96"/>
  <c r="D391" i="96"/>
  <c r="D390" i="96"/>
  <c r="D389" i="96"/>
  <c r="D388" i="96"/>
  <c r="D387" i="96"/>
  <c r="D386" i="96"/>
  <c r="D385" i="96"/>
  <c r="D384" i="96"/>
  <c r="D383" i="96"/>
  <c r="D382" i="96"/>
  <c r="D381" i="96"/>
  <c r="D380" i="96"/>
  <c r="D379" i="96"/>
  <c r="D378" i="96"/>
  <c r="D377" i="96"/>
  <c r="D376" i="96"/>
  <c r="D375" i="96"/>
  <c r="D374" i="96"/>
  <c r="D373" i="96"/>
  <c r="D372" i="96"/>
  <c r="D371" i="96"/>
  <c r="D370" i="96"/>
  <c r="D369" i="96"/>
  <c r="D368" i="96"/>
  <c r="D367" i="96"/>
  <c r="D366" i="96"/>
  <c r="D365" i="96"/>
  <c r="D364" i="96"/>
  <c r="D363" i="96"/>
  <c r="D362" i="96"/>
  <c r="D361" i="96"/>
  <c r="D360" i="96"/>
  <c r="D359" i="96"/>
  <c r="D358" i="96"/>
  <c r="D357" i="96"/>
  <c r="D356" i="96"/>
  <c r="D355" i="96"/>
  <c r="D354" i="96"/>
  <c r="D353" i="96"/>
  <c r="D352" i="96"/>
  <c r="D351" i="96"/>
  <c r="D350" i="96"/>
  <c r="D349" i="96"/>
  <c r="D348" i="96"/>
  <c r="D347" i="96"/>
  <c r="D346" i="96"/>
  <c r="D345" i="96"/>
  <c r="D344" i="96"/>
  <c r="D343" i="96"/>
  <c r="D342" i="96"/>
  <c r="D341" i="96"/>
  <c r="D340" i="96"/>
  <c r="D339" i="96"/>
  <c r="D338" i="96"/>
  <c r="D337" i="96"/>
  <c r="D336" i="96"/>
  <c r="D335" i="96"/>
  <c r="D334" i="96"/>
  <c r="D333" i="96"/>
  <c r="D332" i="96"/>
  <c r="D331" i="96"/>
  <c r="D330" i="96"/>
  <c r="D329" i="96"/>
  <c r="D328" i="96"/>
  <c r="D327" i="96"/>
  <c r="D326" i="96"/>
  <c r="D325" i="96"/>
  <c r="D324" i="96"/>
  <c r="D323" i="96"/>
  <c r="D322" i="96"/>
  <c r="D321" i="96"/>
  <c r="D320" i="96"/>
  <c r="D319" i="96"/>
  <c r="D318" i="96"/>
  <c r="D317" i="96"/>
  <c r="D316" i="96"/>
  <c r="D315" i="96"/>
  <c r="D314" i="96"/>
  <c r="D313" i="96"/>
  <c r="D312" i="96"/>
  <c r="D311" i="96"/>
  <c r="D310" i="96"/>
  <c r="D309" i="96"/>
  <c r="D308" i="96"/>
  <c r="D307" i="96"/>
  <c r="D306" i="96"/>
  <c r="D305" i="96"/>
  <c r="D304" i="96"/>
  <c r="D303" i="96"/>
  <c r="D302" i="96"/>
  <c r="D301" i="96"/>
  <c r="D300" i="96"/>
  <c r="D299" i="96"/>
  <c r="D298" i="96"/>
  <c r="D297" i="96"/>
  <c r="D296" i="96"/>
  <c r="D295" i="96"/>
  <c r="D294" i="96"/>
  <c r="D293" i="96"/>
  <c r="D292" i="96"/>
  <c r="D291" i="96"/>
  <c r="D290" i="96"/>
  <c r="D289" i="96"/>
  <c r="D288" i="96"/>
  <c r="D287" i="96"/>
  <c r="D286" i="96"/>
  <c r="D285" i="96"/>
  <c r="D284" i="96"/>
  <c r="D283" i="96"/>
  <c r="D282" i="96"/>
  <c r="D281" i="96"/>
  <c r="D280" i="96"/>
  <c r="D279" i="96"/>
  <c r="D278" i="96"/>
  <c r="D277" i="96"/>
  <c r="D276" i="96"/>
  <c r="D275" i="96"/>
  <c r="D274" i="96"/>
  <c r="D273" i="96"/>
  <c r="D272" i="96"/>
  <c r="D271" i="96"/>
  <c r="D270" i="96"/>
  <c r="D269" i="96"/>
  <c r="D268" i="96"/>
  <c r="D267" i="96"/>
  <c r="D266" i="96"/>
  <c r="D265" i="96"/>
  <c r="D264" i="96"/>
  <c r="D263" i="96"/>
  <c r="D262" i="96"/>
  <c r="D261" i="96"/>
  <c r="D260" i="96"/>
  <c r="D259" i="96"/>
  <c r="D258" i="96"/>
  <c r="D257" i="96"/>
  <c r="D256" i="96"/>
  <c r="D255" i="96"/>
  <c r="D254" i="96"/>
  <c r="D253" i="96"/>
  <c r="D252" i="96"/>
  <c r="D251" i="96"/>
  <c r="D250" i="96"/>
  <c r="D249" i="96"/>
  <c r="D248" i="96"/>
  <c r="D247" i="96"/>
  <c r="D246" i="96"/>
  <c r="D245" i="96"/>
  <c r="D244" i="96"/>
  <c r="D243" i="96"/>
  <c r="D242" i="96"/>
  <c r="D241" i="96"/>
  <c r="D240" i="96"/>
  <c r="D239" i="96"/>
  <c r="D238" i="96"/>
  <c r="D237" i="96"/>
  <c r="D236" i="96"/>
  <c r="D235" i="96"/>
  <c r="D234" i="96"/>
  <c r="D233" i="96"/>
  <c r="D232" i="96"/>
  <c r="D231" i="96"/>
  <c r="D230" i="96"/>
  <c r="D229" i="96"/>
  <c r="D228" i="96"/>
  <c r="D227" i="96"/>
  <c r="D226" i="96"/>
  <c r="D225" i="96"/>
  <c r="D224" i="96"/>
  <c r="D223" i="96"/>
  <c r="D222" i="96"/>
  <c r="D221" i="96"/>
  <c r="D220" i="96"/>
  <c r="D219" i="96"/>
  <c r="D218" i="96"/>
  <c r="D217" i="96"/>
  <c r="D216" i="96"/>
  <c r="D215" i="96"/>
  <c r="D214" i="96"/>
  <c r="D213" i="96"/>
  <c r="D212" i="96"/>
  <c r="D211" i="96"/>
  <c r="D210" i="96"/>
  <c r="D209" i="96"/>
  <c r="D208" i="96"/>
  <c r="D207" i="96"/>
  <c r="D206" i="96"/>
  <c r="D205" i="96"/>
  <c r="D204" i="96"/>
  <c r="D203" i="96"/>
  <c r="D202" i="96"/>
  <c r="D201" i="96"/>
  <c r="D200" i="96"/>
  <c r="D199" i="96"/>
  <c r="D198" i="96"/>
  <c r="D197" i="96"/>
  <c r="D196" i="96"/>
  <c r="D195" i="96"/>
  <c r="D194" i="96"/>
  <c r="D193" i="96"/>
  <c r="D192" i="96"/>
  <c r="D191" i="96"/>
  <c r="D190" i="96"/>
  <c r="D189" i="96"/>
  <c r="D188" i="96"/>
  <c r="D187" i="96"/>
  <c r="D186" i="96"/>
  <c r="D185" i="96"/>
  <c r="D184" i="96"/>
  <c r="D183" i="96"/>
  <c r="D182" i="96"/>
  <c r="D181" i="96"/>
  <c r="D180" i="96"/>
  <c r="D179" i="96"/>
  <c r="D178" i="96"/>
  <c r="D177" i="96"/>
  <c r="D176" i="96"/>
  <c r="D175" i="96"/>
  <c r="D174" i="96"/>
  <c r="D173" i="96"/>
  <c r="D172" i="96"/>
  <c r="D171" i="96"/>
  <c r="D170" i="96"/>
  <c r="D169" i="96"/>
  <c r="D168" i="96"/>
  <c r="D167" i="96"/>
  <c r="D166" i="96"/>
  <c r="D165" i="96"/>
  <c r="D164" i="96"/>
  <c r="D163" i="96"/>
  <c r="D162" i="96"/>
  <c r="D161" i="96"/>
  <c r="D160" i="96"/>
  <c r="D159" i="96"/>
  <c r="D158" i="96"/>
  <c r="D157" i="96"/>
  <c r="D156" i="96"/>
  <c r="D155" i="96"/>
  <c r="D154" i="96"/>
  <c r="D153" i="96"/>
  <c r="D152" i="96"/>
  <c r="D151" i="96"/>
  <c r="D150" i="96"/>
  <c r="D149" i="96"/>
  <c r="D148" i="96"/>
  <c r="D147" i="96"/>
  <c r="D146" i="96"/>
  <c r="D145" i="96"/>
  <c r="D144" i="96"/>
  <c r="D143" i="96"/>
  <c r="D142" i="96"/>
  <c r="D141" i="96"/>
  <c r="D140" i="96"/>
  <c r="D139" i="96"/>
  <c r="D138" i="96"/>
  <c r="D137" i="96"/>
  <c r="D136" i="96"/>
  <c r="D135" i="96"/>
  <c r="D134" i="96"/>
  <c r="D133" i="96"/>
  <c r="D132" i="96"/>
  <c r="D131" i="96"/>
  <c r="D130" i="96"/>
  <c r="D129" i="96"/>
  <c r="D128" i="96"/>
  <c r="D127" i="96"/>
  <c r="D126" i="96"/>
  <c r="D125" i="96"/>
  <c r="D124" i="96"/>
  <c r="D123" i="96"/>
  <c r="D122" i="96"/>
  <c r="D121" i="96"/>
  <c r="D120" i="96"/>
  <c r="D119" i="96"/>
  <c r="D118" i="96"/>
  <c r="D117" i="96"/>
  <c r="D116" i="96"/>
  <c r="D115" i="96"/>
  <c r="D114" i="96"/>
  <c r="D113" i="96"/>
  <c r="D112" i="96"/>
  <c r="D111" i="96"/>
  <c r="D110" i="96"/>
  <c r="D109" i="96"/>
  <c r="D108" i="96"/>
  <c r="D107" i="96"/>
  <c r="D106" i="96"/>
  <c r="D105" i="96"/>
  <c r="D104" i="96"/>
  <c r="D103" i="96"/>
  <c r="D102" i="96"/>
  <c r="D101" i="96"/>
  <c r="D100" i="96"/>
  <c r="D99" i="96"/>
  <c r="D98" i="96"/>
  <c r="D97" i="96"/>
  <c r="D96" i="96"/>
  <c r="D95" i="96"/>
  <c r="D94" i="96"/>
  <c r="D93" i="96"/>
  <c r="D92" i="96"/>
  <c r="D91" i="96"/>
  <c r="D90" i="96"/>
  <c r="D89" i="96"/>
  <c r="D88" i="96"/>
  <c r="D87" i="96"/>
  <c r="D86" i="96"/>
  <c r="D85" i="96"/>
  <c r="D84" i="96"/>
  <c r="D83" i="96"/>
  <c r="D82" i="96"/>
  <c r="D81" i="96"/>
  <c r="D80" i="96"/>
  <c r="D79" i="96"/>
  <c r="D78" i="96"/>
  <c r="D77" i="96"/>
  <c r="D76" i="96"/>
  <c r="D75" i="96"/>
  <c r="D74" i="96"/>
  <c r="D73" i="96"/>
  <c r="D72" i="96"/>
  <c r="D71" i="96"/>
  <c r="D70" i="96"/>
  <c r="D69" i="96"/>
  <c r="D68" i="96"/>
  <c r="D67" i="96"/>
  <c r="D66" i="96"/>
  <c r="D65" i="96"/>
  <c r="D64" i="96"/>
  <c r="D63" i="96"/>
  <c r="D62" i="96"/>
  <c r="D61" i="96"/>
  <c r="D60" i="96"/>
  <c r="D59" i="96"/>
  <c r="D58" i="96"/>
  <c r="D57" i="96"/>
  <c r="D56" i="96"/>
  <c r="D55" i="96"/>
  <c r="D54" i="96"/>
  <c r="D53" i="96"/>
  <c r="D52" i="96"/>
  <c r="D51" i="96"/>
  <c r="D50" i="96"/>
  <c r="D49" i="96"/>
  <c r="D48" i="96"/>
  <c r="D47" i="96"/>
  <c r="D46" i="96"/>
  <c r="D45" i="96"/>
  <c r="D44" i="96"/>
  <c r="D43" i="96"/>
  <c r="D42" i="96"/>
  <c r="D41" i="96"/>
  <c r="D40" i="96"/>
  <c r="D39" i="96"/>
  <c r="D38" i="96"/>
  <c r="D37" i="96"/>
  <c r="D36" i="96"/>
  <c r="D35" i="96"/>
  <c r="D34" i="96"/>
  <c r="D33" i="96"/>
  <c r="D32" i="96"/>
  <c r="D31" i="96"/>
  <c r="D30" i="96"/>
  <c r="D29" i="96"/>
  <c r="D28" i="96"/>
  <c r="D27" i="96"/>
  <c r="D26" i="96"/>
  <c r="D25" i="96"/>
  <c r="D24" i="96"/>
  <c r="D23" i="96"/>
  <c r="D22" i="96"/>
  <c r="D21" i="96"/>
  <c r="D20" i="96"/>
  <c r="D19" i="96"/>
  <c r="D18" i="96"/>
  <c r="D17" i="96"/>
  <c r="D16" i="96"/>
  <c r="D15" i="96"/>
  <c r="D14" i="96"/>
  <c r="D13" i="96"/>
  <c r="D12" i="96"/>
  <c r="D11" i="96"/>
  <c r="D10" i="96"/>
  <c r="D9" i="96"/>
  <c r="D8" i="96"/>
  <c r="D7" i="96"/>
  <c r="D6" i="96"/>
  <c r="D5" i="96"/>
  <c r="D4" i="96"/>
  <c r="D3" i="96"/>
  <c r="D2" i="96"/>
  <c r="O5" i="95"/>
  <c r="O3" i="95"/>
  <c r="O4" i="95"/>
  <c r="O2" i="95"/>
  <c r="N5" i="95"/>
  <c r="M5" i="95"/>
  <c r="M3" i="95"/>
  <c r="N3" i="95"/>
  <c r="M4" i="95"/>
  <c r="N4" i="95"/>
  <c r="N2" i="95"/>
  <c r="M2" i="95"/>
  <c r="D564" i="95"/>
  <c r="D563" i="95"/>
  <c r="D562" i="95"/>
  <c r="D561" i="95"/>
  <c r="D560" i="95"/>
  <c r="D559" i="95"/>
  <c r="D558" i="95"/>
  <c r="D557" i="95"/>
  <c r="D556" i="95"/>
  <c r="D555" i="95"/>
  <c r="D554" i="95"/>
  <c r="D553" i="95"/>
  <c r="D552" i="95"/>
  <c r="D551" i="95"/>
  <c r="D550" i="95"/>
  <c r="D549" i="95"/>
  <c r="D548" i="95"/>
  <c r="D547" i="95"/>
  <c r="D546" i="95"/>
  <c r="D545" i="95"/>
  <c r="D544" i="95"/>
  <c r="D543" i="95"/>
  <c r="D542" i="95"/>
  <c r="D541" i="95"/>
  <c r="D540" i="95"/>
  <c r="D539" i="95"/>
  <c r="D538" i="95"/>
  <c r="D537" i="95"/>
  <c r="D536" i="95"/>
  <c r="D535" i="95"/>
  <c r="D534" i="95"/>
  <c r="D533" i="95"/>
  <c r="D532" i="95"/>
  <c r="D531" i="95"/>
  <c r="D530" i="95"/>
  <c r="D529" i="95"/>
  <c r="D528" i="95"/>
  <c r="D527" i="95"/>
  <c r="D526" i="95"/>
  <c r="D525" i="95"/>
  <c r="D524" i="95"/>
  <c r="D523" i="95"/>
  <c r="D522" i="95"/>
  <c r="D521" i="95"/>
  <c r="D520" i="95"/>
  <c r="D519" i="95"/>
  <c r="D518" i="95"/>
  <c r="D517" i="95"/>
  <c r="D516" i="95"/>
  <c r="D515" i="95"/>
  <c r="D514" i="95"/>
  <c r="D513" i="95"/>
  <c r="D512" i="95"/>
  <c r="D511" i="95"/>
  <c r="D510" i="95"/>
  <c r="D509" i="95"/>
  <c r="D508" i="95"/>
  <c r="D507" i="95"/>
  <c r="D506" i="95"/>
  <c r="D505" i="95"/>
  <c r="D504" i="95"/>
  <c r="D503" i="95"/>
  <c r="D502" i="95"/>
  <c r="D501" i="95"/>
  <c r="D500" i="95"/>
  <c r="D499" i="95"/>
  <c r="D498" i="95"/>
  <c r="D497" i="95"/>
  <c r="D496" i="95"/>
  <c r="D495" i="95"/>
  <c r="D494" i="95"/>
  <c r="D493" i="95"/>
  <c r="D492" i="95"/>
  <c r="D491" i="95"/>
  <c r="D490" i="95"/>
  <c r="D489" i="95"/>
  <c r="D488" i="95"/>
  <c r="D487" i="95"/>
  <c r="D486" i="95"/>
  <c r="D485" i="95"/>
  <c r="D484" i="95"/>
  <c r="D483" i="95"/>
  <c r="D482" i="95"/>
  <c r="D481" i="95"/>
  <c r="D480" i="95"/>
  <c r="D479" i="95"/>
  <c r="D478" i="95"/>
  <c r="D477" i="95"/>
  <c r="D476" i="95"/>
  <c r="D475" i="95"/>
  <c r="D474" i="95"/>
  <c r="D473" i="95"/>
  <c r="D472" i="95"/>
  <c r="D471" i="95"/>
  <c r="D470" i="95"/>
  <c r="D469" i="95"/>
  <c r="D468" i="95"/>
  <c r="D467" i="95"/>
  <c r="D466" i="95"/>
  <c r="D465" i="95"/>
  <c r="D464" i="95"/>
  <c r="D463" i="95"/>
  <c r="D462" i="95"/>
  <c r="D461" i="95"/>
  <c r="D460" i="95"/>
  <c r="D459" i="95"/>
  <c r="D458" i="95"/>
  <c r="D457" i="95"/>
  <c r="D456" i="95"/>
  <c r="D455" i="95"/>
  <c r="D454" i="95"/>
  <c r="D453" i="95"/>
  <c r="D452" i="95"/>
  <c r="D451" i="95"/>
  <c r="D450" i="95"/>
  <c r="D449" i="95"/>
  <c r="D448" i="95"/>
  <c r="D447" i="95"/>
  <c r="D446" i="95"/>
  <c r="D445" i="95"/>
  <c r="D444" i="95"/>
  <c r="D443" i="95"/>
  <c r="D442" i="95"/>
  <c r="D441" i="95"/>
  <c r="D440" i="95"/>
  <c r="D439" i="95"/>
  <c r="D438" i="95"/>
  <c r="D437" i="95"/>
  <c r="D436" i="95"/>
  <c r="D435" i="95"/>
  <c r="D434" i="95"/>
  <c r="D433" i="95"/>
  <c r="D432" i="95"/>
  <c r="D431" i="95"/>
  <c r="D430" i="95"/>
  <c r="D429" i="95"/>
  <c r="D428" i="95"/>
  <c r="D427" i="95"/>
  <c r="D426" i="95"/>
  <c r="D425" i="95"/>
  <c r="D424" i="95"/>
  <c r="D423" i="95"/>
  <c r="D422" i="95"/>
  <c r="D421" i="95"/>
  <c r="D420" i="95"/>
  <c r="D419" i="95"/>
  <c r="D418" i="95"/>
  <c r="D417" i="95"/>
  <c r="D416" i="95"/>
  <c r="D415" i="95"/>
  <c r="D414" i="95"/>
  <c r="D413" i="95"/>
  <c r="D412" i="95"/>
  <c r="D411" i="95"/>
  <c r="D410" i="95"/>
  <c r="D409" i="95"/>
  <c r="D408" i="95"/>
  <c r="D407" i="95"/>
  <c r="D406" i="95"/>
  <c r="D405" i="95"/>
  <c r="D404" i="95"/>
  <c r="D403" i="95"/>
  <c r="D402" i="95"/>
  <c r="D401" i="95"/>
  <c r="D400" i="95"/>
  <c r="D399" i="95"/>
  <c r="D398" i="95"/>
  <c r="D397" i="95"/>
  <c r="D396" i="95"/>
  <c r="D395" i="95"/>
  <c r="D394" i="95"/>
  <c r="D393" i="95"/>
  <c r="D392" i="95"/>
  <c r="D391" i="95"/>
  <c r="D390" i="95"/>
  <c r="D389" i="95"/>
  <c r="D388" i="95"/>
  <c r="D387" i="95"/>
  <c r="D386" i="95"/>
  <c r="D385" i="95"/>
  <c r="D384" i="95"/>
  <c r="D383" i="95"/>
  <c r="D382" i="95"/>
  <c r="D381" i="95"/>
  <c r="D380" i="95"/>
  <c r="D379" i="95"/>
  <c r="D378" i="95"/>
  <c r="D377" i="95"/>
  <c r="D376" i="95"/>
  <c r="D375" i="95"/>
  <c r="D374" i="95"/>
  <c r="D373" i="95"/>
  <c r="D372" i="95"/>
  <c r="D371" i="95"/>
  <c r="D370" i="95"/>
  <c r="D369" i="95"/>
  <c r="D368" i="95"/>
  <c r="D367" i="95"/>
  <c r="D366" i="95"/>
  <c r="D365" i="95"/>
  <c r="D364" i="95"/>
  <c r="D363" i="95"/>
  <c r="D362" i="95"/>
  <c r="D361" i="95"/>
  <c r="D360" i="95"/>
  <c r="D359" i="95"/>
  <c r="D358" i="95"/>
  <c r="D357" i="95"/>
  <c r="D356" i="95"/>
  <c r="D355" i="95"/>
  <c r="D354" i="95"/>
  <c r="D353" i="95"/>
  <c r="D352" i="95"/>
  <c r="D351" i="95"/>
  <c r="D350" i="95"/>
  <c r="D349" i="95"/>
  <c r="D348" i="95"/>
  <c r="D347" i="95"/>
  <c r="D346" i="95"/>
  <c r="D345" i="95"/>
  <c r="D344" i="95"/>
  <c r="D343" i="95"/>
  <c r="D342" i="95"/>
  <c r="D341" i="95"/>
  <c r="D340" i="95"/>
  <c r="D339" i="95"/>
  <c r="D338" i="95"/>
  <c r="D337" i="95"/>
  <c r="D336" i="95"/>
  <c r="D335" i="95"/>
  <c r="D334" i="95"/>
  <c r="D333" i="95"/>
  <c r="D332" i="95"/>
  <c r="D331" i="95"/>
  <c r="D330" i="95"/>
  <c r="D329" i="95"/>
  <c r="D328" i="95"/>
  <c r="D327" i="95"/>
  <c r="D326" i="95"/>
  <c r="D325" i="95"/>
  <c r="D324" i="95"/>
  <c r="D323" i="95"/>
  <c r="D322" i="95"/>
  <c r="D321" i="95"/>
  <c r="D320" i="95"/>
  <c r="D319" i="95"/>
  <c r="D318" i="95"/>
  <c r="D317" i="95"/>
  <c r="D316" i="95"/>
  <c r="D315" i="95"/>
  <c r="D314" i="95"/>
  <c r="D313" i="95"/>
  <c r="D312" i="95"/>
  <c r="D311" i="95"/>
  <c r="D310" i="95"/>
  <c r="D309" i="95"/>
  <c r="D308" i="95"/>
  <c r="D307" i="95"/>
  <c r="D306" i="95"/>
  <c r="D305" i="95"/>
  <c r="D304" i="95"/>
  <c r="D303" i="95"/>
  <c r="D302" i="95"/>
  <c r="D301" i="95"/>
  <c r="D300" i="95"/>
  <c r="D299" i="95"/>
  <c r="D298" i="95"/>
  <c r="D297" i="95"/>
  <c r="D296" i="95"/>
  <c r="D295" i="95"/>
  <c r="D294" i="95"/>
  <c r="D293" i="95"/>
  <c r="D292" i="95"/>
  <c r="D291" i="95"/>
  <c r="D290" i="95"/>
  <c r="D289" i="95"/>
  <c r="D288" i="95"/>
  <c r="D287" i="95"/>
  <c r="D286" i="95"/>
  <c r="D285" i="95"/>
  <c r="D284" i="95"/>
  <c r="D283" i="95"/>
  <c r="D282" i="95"/>
  <c r="D281" i="95"/>
  <c r="D280" i="95"/>
  <c r="D279" i="95"/>
  <c r="D278" i="95"/>
  <c r="D277" i="95"/>
  <c r="D276" i="95"/>
  <c r="D275" i="95"/>
  <c r="D274" i="95"/>
  <c r="D273" i="95"/>
  <c r="D272" i="95"/>
  <c r="D271" i="95"/>
  <c r="D270" i="95"/>
  <c r="D269" i="95"/>
  <c r="D268" i="95"/>
  <c r="D267" i="95"/>
  <c r="D266" i="95"/>
  <c r="D265" i="95"/>
  <c r="D264" i="95"/>
  <c r="D263" i="95"/>
  <c r="D262" i="95"/>
  <c r="D261" i="95"/>
  <c r="D260" i="95"/>
  <c r="D259" i="95"/>
  <c r="D258" i="95"/>
  <c r="D257" i="95"/>
  <c r="D256" i="95"/>
  <c r="D255" i="95"/>
  <c r="D254" i="95"/>
  <c r="D253" i="95"/>
  <c r="D252" i="95"/>
  <c r="D251" i="95"/>
  <c r="D250" i="95"/>
  <c r="D249" i="95"/>
  <c r="D248" i="95"/>
  <c r="D247" i="95"/>
  <c r="D246" i="95"/>
  <c r="D245" i="95"/>
  <c r="D244" i="95"/>
  <c r="D243" i="95"/>
  <c r="D242" i="95"/>
  <c r="D241" i="95"/>
  <c r="D240" i="95"/>
  <c r="D239" i="95"/>
  <c r="D238" i="95"/>
  <c r="D237" i="95"/>
  <c r="D236" i="95"/>
  <c r="D235" i="95"/>
  <c r="D234" i="95"/>
  <c r="D233" i="95"/>
  <c r="D232" i="95"/>
  <c r="D231" i="95"/>
  <c r="D230" i="95"/>
  <c r="D229" i="95"/>
  <c r="D228" i="95"/>
  <c r="D227" i="95"/>
  <c r="D226" i="95"/>
  <c r="D225" i="95"/>
  <c r="D224" i="95"/>
  <c r="D223" i="95"/>
  <c r="D222" i="95"/>
  <c r="D221" i="95"/>
  <c r="D220" i="95"/>
  <c r="D219" i="95"/>
  <c r="D218" i="95"/>
  <c r="D217" i="95"/>
  <c r="D216" i="95"/>
  <c r="D215" i="95"/>
  <c r="D214" i="95"/>
  <c r="D213" i="95"/>
  <c r="D212" i="95"/>
  <c r="D211" i="95"/>
  <c r="D210" i="95"/>
  <c r="D209" i="95"/>
  <c r="D208" i="95"/>
  <c r="D207" i="95"/>
  <c r="D206" i="95"/>
  <c r="D205" i="95"/>
  <c r="D204" i="95"/>
  <c r="D203" i="95"/>
  <c r="D202" i="95"/>
  <c r="D201" i="95"/>
  <c r="D200" i="95"/>
  <c r="D199" i="95"/>
  <c r="D198" i="95"/>
  <c r="D197" i="95"/>
  <c r="D196" i="95"/>
  <c r="D195" i="95"/>
  <c r="D194" i="95"/>
  <c r="D193" i="95"/>
  <c r="D192" i="95"/>
  <c r="D191" i="95"/>
  <c r="D190" i="95"/>
  <c r="D189" i="95"/>
  <c r="D188" i="95"/>
  <c r="D187" i="95"/>
  <c r="D186" i="95"/>
  <c r="D185" i="95"/>
  <c r="D184" i="95"/>
  <c r="D183" i="95"/>
  <c r="D182" i="95"/>
  <c r="D181" i="95"/>
  <c r="D180" i="95"/>
  <c r="D179" i="95"/>
  <c r="D178" i="95"/>
  <c r="D177" i="95"/>
  <c r="D176" i="95"/>
  <c r="D175" i="95"/>
  <c r="D174" i="95"/>
  <c r="D173" i="95"/>
  <c r="D172" i="95"/>
  <c r="D171" i="95"/>
  <c r="D170" i="95"/>
  <c r="D169" i="95"/>
  <c r="D168" i="95"/>
  <c r="D167" i="95"/>
  <c r="D166" i="95"/>
  <c r="D165" i="95"/>
  <c r="D164" i="95"/>
  <c r="D163" i="95"/>
  <c r="D162" i="95"/>
  <c r="D161" i="95"/>
  <c r="D160" i="95"/>
  <c r="D159" i="95"/>
  <c r="D158" i="95"/>
  <c r="D157" i="95"/>
  <c r="D156" i="95"/>
  <c r="D155" i="95"/>
  <c r="D154" i="95"/>
  <c r="D153" i="95"/>
  <c r="D152" i="95"/>
  <c r="D151" i="95"/>
  <c r="D150" i="95"/>
  <c r="D149" i="95"/>
  <c r="D148" i="95"/>
  <c r="D147" i="95"/>
  <c r="D146" i="95"/>
  <c r="D145" i="95"/>
  <c r="D144" i="95"/>
  <c r="D143" i="95"/>
  <c r="D142" i="95"/>
  <c r="D141" i="95"/>
  <c r="D140" i="95"/>
  <c r="D139" i="95"/>
  <c r="D138" i="95"/>
  <c r="D137" i="95"/>
  <c r="D136" i="95"/>
  <c r="D135" i="95"/>
  <c r="D134" i="95"/>
  <c r="D133" i="95"/>
  <c r="D132" i="95"/>
  <c r="D131" i="95"/>
  <c r="D130" i="95"/>
  <c r="D129" i="95"/>
  <c r="D128" i="95"/>
  <c r="D127" i="95"/>
  <c r="D126" i="95"/>
  <c r="D125" i="95"/>
  <c r="D124" i="95"/>
  <c r="D123" i="95"/>
  <c r="D122" i="95"/>
  <c r="D121" i="95"/>
  <c r="D120" i="95"/>
  <c r="D119" i="95"/>
  <c r="D118" i="95"/>
  <c r="D117" i="95"/>
  <c r="D116" i="95"/>
  <c r="D115" i="95"/>
  <c r="D114" i="95"/>
  <c r="D113" i="95"/>
  <c r="D112" i="95"/>
  <c r="D111" i="95"/>
  <c r="D110" i="95"/>
  <c r="D109" i="95"/>
  <c r="D108" i="95"/>
  <c r="D107" i="95"/>
  <c r="D106" i="95"/>
  <c r="D105" i="95"/>
  <c r="D104" i="95"/>
  <c r="D103" i="95"/>
  <c r="D102" i="95"/>
  <c r="D101" i="95"/>
  <c r="D100" i="95"/>
  <c r="D99" i="95"/>
  <c r="D98" i="95"/>
  <c r="D97" i="95"/>
  <c r="D96" i="95"/>
  <c r="D95" i="95"/>
  <c r="D94" i="95"/>
  <c r="D93" i="95"/>
  <c r="D92" i="95"/>
  <c r="D91" i="95"/>
  <c r="D90" i="95"/>
  <c r="D89" i="95"/>
  <c r="D88" i="95"/>
  <c r="D87" i="95"/>
  <c r="D86" i="95"/>
  <c r="D85" i="95"/>
  <c r="D84" i="95"/>
  <c r="D83" i="95"/>
  <c r="D82" i="95"/>
  <c r="D81" i="95"/>
  <c r="D80" i="95"/>
  <c r="D79" i="95"/>
  <c r="D78" i="95"/>
  <c r="D77" i="95"/>
  <c r="D76" i="95"/>
  <c r="D75" i="95"/>
  <c r="D74" i="95"/>
  <c r="D73" i="95"/>
  <c r="D72" i="95"/>
  <c r="D71" i="95"/>
  <c r="D70" i="95"/>
  <c r="D69" i="95"/>
  <c r="D68" i="95"/>
  <c r="D67" i="95"/>
  <c r="D66" i="95"/>
  <c r="D65" i="95"/>
  <c r="D64" i="95"/>
  <c r="D63" i="95"/>
  <c r="D62" i="95"/>
  <c r="D61" i="95"/>
  <c r="D60" i="95"/>
  <c r="D59" i="95"/>
  <c r="D58" i="95"/>
  <c r="D57" i="95"/>
  <c r="D56" i="95"/>
  <c r="D55" i="95"/>
  <c r="D54" i="95"/>
  <c r="D53" i="95"/>
  <c r="D52" i="95"/>
  <c r="D51" i="95"/>
  <c r="D50" i="95"/>
  <c r="D49" i="95"/>
  <c r="D48" i="95"/>
  <c r="D47" i="95"/>
  <c r="D46" i="95"/>
  <c r="D45" i="95"/>
  <c r="D44" i="95"/>
  <c r="D43" i="95"/>
  <c r="D42" i="95"/>
  <c r="D41" i="95"/>
  <c r="D40" i="95"/>
  <c r="D39" i="95"/>
  <c r="D38" i="95"/>
  <c r="D37" i="95"/>
  <c r="D36" i="95"/>
  <c r="D35" i="95"/>
  <c r="D34" i="95"/>
  <c r="D33" i="95"/>
  <c r="D32" i="95"/>
  <c r="D31" i="95"/>
  <c r="D30" i="95"/>
  <c r="D29" i="95"/>
  <c r="D28" i="95"/>
  <c r="D27" i="95"/>
  <c r="D26" i="95"/>
  <c r="D25" i="95"/>
  <c r="D24" i="95"/>
  <c r="D23" i="95"/>
  <c r="D22" i="95"/>
  <c r="D21" i="95"/>
  <c r="D20" i="95"/>
  <c r="D19" i="95"/>
  <c r="D18" i="95"/>
  <c r="D17" i="95"/>
  <c r="D16" i="95"/>
  <c r="D15" i="95"/>
  <c r="D14" i="95"/>
  <c r="D13" i="95"/>
  <c r="D12" i="95"/>
  <c r="D11" i="95"/>
  <c r="D10" i="95"/>
  <c r="D9" i="95"/>
  <c r="D8" i="95"/>
  <c r="D7" i="95"/>
  <c r="D6" i="95"/>
  <c r="D5" i="95"/>
  <c r="D4" i="95"/>
  <c r="D3" i="95"/>
  <c r="D2" i="95"/>
  <c r="B3" i="87"/>
  <c r="B4" i="87"/>
  <c r="B5" i="87"/>
  <c r="B6" i="87"/>
  <c r="B7" i="87"/>
  <c r="B8" i="87"/>
  <c r="B9" i="87"/>
  <c r="B10" i="87"/>
  <c r="B11" i="87"/>
  <c r="B12" i="87"/>
  <c r="B13" i="87"/>
  <c r="B14" i="87"/>
  <c r="B15" i="87"/>
  <c r="B16" i="87"/>
  <c r="B17" i="87"/>
  <c r="B18" i="87"/>
  <c r="B19" i="87"/>
  <c r="B20" i="87"/>
  <c r="B21" i="87"/>
  <c r="B22" i="87"/>
  <c r="B23" i="87"/>
  <c r="B24" i="87"/>
  <c r="B25" i="87"/>
  <c r="B26" i="87"/>
  <c r="B27" i="87"/>
  <c r="B28" i="87"/>
  <c r="B29" i="87"/>
  <c r="B30" i="87"/>
  <c r="B31" i="87"/>
  <c r="B2" i="87"/>
  <c r="C6" i="22"/>
  <c r="B4" i="30"/>
  <c r="C5" i="29"/>
  <c r="L4" i="75"/>
  <c r="L3" i="75"/>
  <c r="D3" i="75"/>
  <c r="D4" i="75"/>
  <c r="D5" i="75"/>
  <c r="D6" i="75"/>
  <c r="D7" i="75"/>
  <c r="D8" i="75"/>
  <c r="D9" i="75"/>
  <c r="D10" i="75"/>
  <c r="D11" i="75"/>
  <c r="D12" i="75"/>
  <c r="D13" i="75"/>
  <c r="D14" i="75"/>
  <c r="D15" i="75"/>
  <c r="D16" i="75"/>
  <c r="D17" i="75"/>
  <c r="D18" i="75"/>
  <c r="D19" i="75"/>
  <c r="D20" i="75"/>
  <c r="D21" i="75"/>
  <c r="D22" i="75"/>
  <c r="D23" i="75"/>
  <c r="D24" i="75"/>
  <c r="D25" i="75"/>
  <c r="D26" i="75"/>
  <c r="D27" i="75"/>
  <c r="D28" i="75"/>
  <c r="D29" i="75"/>
  <c r="D30" i="75"/>
  <c r="D31" i="75"/>
  <c r="D32" i="75"/>
  <c r="D33" i="75"/>
  <c r="D34" i="75"/>
  <c r="D35" i="75"/>
  <c r="D36" i="75"/>
  <c r="D37" i="75"/>
  <c r="D38" i="75"/>
  <c r="D39" i="75"/>
  <c r="D40" i="75"/>
  <c r="D41" i="75"/>
  <c r="D42" i="75"/>
  <c r="D43" i="75"/>
  <c r="D44" i="75"/>
  <c r="D45" i="75"/>
  <c r="D46" i="75"/>
  <c r="D47" i="75"/>
  <c r="D48" i="75"/>
  <c r="D49" i="75"/>
  <c r="D50" i="75"/>
  <c r="D51" i="75"/>
  <c r="D52" i="75"/>
  <c r="D53" i="75"/>
  <c r="D54" i="75"/>
  <c r="D55" i="75"/>
  <c r="D56" i="75"/>
  <c r="D57" i="75"/>
  <c r="D58" i="75"/>
  <c r="D59" i="75"/>
  <c r="D60" i="75"/>
  <c r="D61" i="75"/>
  <c r="D62" i="75"/>
  <c r="D63" i="75"/>
  <c r="D64" i="75"/>
  <c r="D65" i="75"/>
  <c r="D66" i="75"/>
  <c r="D67" i="75"/>
  <c r="D68" i="75"/>
  <c r="D69" i="75"/>
  <c r="D70" i="75"/>
  <c r="D71" i="75"/>
  <c r="D72" i="75"/>
  <c r="D73" i="75"/>
  <c r="D74" i="75"/>
  <c r="D75" i="75"/>
  <c r="D76" i="75"/>
  <c r="D77" i="75"/>
  <c r="D78" i="75"/>
  <c r="D79" i="75"/>
  <c r="D80" i="75"/>
  <c r="D81" i="75"/>
  <c r="D82" i="75"/>
  <c r="D83" i="75"/>
  <c r="D84" i="75"/>
  <c r="D85" i="75"/>
  <c r="D86" i="75"/>
  <c r="D87" i="75"/>
  <c r="D88" i="75"/>
  <c r="D89" i="75"/>
  <c r="D90" i="75"/>
  <c r="D91" i="75"/>
  <c r="D92" i="75"/>
  <c r="D93" i="75"/>
  <c r="D94" i="75"/>
  <c r="D95" i="75"/>
  <c r="D2" i="75"/>
  <c r="E5"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38" i="48"/>
  <c r="K39" i="48"/>
  <c r="K40" i="48"/>
  <c r="K41" i="48"/>
  <c r="K42" i="48"/>
  <c r="K43" i="48"/>
  <c r="K44" i="48"/>
  <c r="K45" i="48"/>
  <c r="K46" i="48"/>
  <c r="K47" i="48"/>
  <c r="K48" i="48"/>
  <c r="K49" i="48"/>
  <c r="K50" i="48"/>
  <c r="K51" i="48"/>
  <c r="K52" i="48"/>
  <c r="K53" i="48"/>
  <c r="K54" i="48"/>
  <c r="K55" i="48"/>
  <c r="K56" i="48"/>
  <c r="K57" i="48"/>
  <c r="K58" i="48"/>
  <c r="K59" i="48"/>
  <c r="K60" i="48"/>
  <c r="K61" i="48"/>
  <c r="K62" i="48"/>
  <c r="K63" i="48"/>
  <c r="K64" i="48"/>
  <c r="K65" i="48"/>
  <c r="K66" i="48"/>
  <c r="K67" i="48"/>
  <c r="K68" i="48"/>
  <c r="K69" i="48"/>
  <c r="K70" i="48"/>
  <c r="K71" i="48"/>
  <c r="K72" i="48"/>
  <c r="K73" i="48"/>
  <c r="K74" i="48"/>
  <c r="K75" i="48"/>
  <c r="K76" i="48"/>
  <c r="K77" i="48"/>
  <c r="K78" i="48"/>
  <c r="K79" i="48"/>
  <c r="K80" i="48"/>
  <c r="K81" i="48"/>
  <c r="K82" i="48"/>
  <c r="K83" i="48"/>
  <c r="K84" i="48"/>
  <c r="K85" i="48"/>
  <c r="K86" i="48"/>
  <c r="K87" i="48"/>
  <c r="K88" i="48"/>
  <c r="K89" i="48"/>
  <c r="K90" i="48"/>
  <c r="K91" i="48"/>
  <c r="K92" i="48"/>
  <c r="K93" i="48"/>
  <c r="K94" i="48"/>
  <c r="K95" i="48"/>
  <c r="K96" i="48"/>
  <c r="K97" i="48"/>
  <c r="K98" i="48"/>
  <c r="K99" i="48"/>
  <c r="K100" i="48"/>
  <c r="K101" i="48"/>
  <c r="K102" i="48"/>
  <c r="K103" i="48"/>
  <c r="K104" i="48"/>
  <c r="K105" i="48"/>
  <c r="K106" i="48"/>
  <c r="K107" i="48"/>
  <c r="K108" i="48"/>
  <c r="K109" i="48"/>
  <c r="K110" i="48"/>
  <c r="K111" i="48"/>
  <c r="K112" i="48"/>
  <c r="K113" i="48"/>
  <c r="K114" i="48"/>
  <c r="K115" i="48"/>
  <c r="K116" i="48"/>
  <c r="K117" i="48"/>
  <c r="K118" i="48"/>
  <c r="K119" i="48"/>
  <c r="K120" i="48"/>
  <c r="K121" i="48"/>
  <c r="K122" i="48"/>
  <c r="K123" i="48"/>
  <c r="K124" i="48"/>
  <c r="K125" i="48"/>
  <c r="K126" i="48"/>
  <c r="K127" i="48"/>
  <c r="K128" i="48"/>
  <c r="K129" i="48"/>
  <c r="K130" i="48"/>
  <c r="K131" i="48"/>
  <c r="K132" i="48"/>
  <c r="K133" i="48"/>
  <c r="K134" i="48"/>
  <c r="K135" i="48"/>
  <c r="K136" i="48"/>
  <c r="K137" i="48"/>
  <c r="K138" i="48"/>
  <c r="K139" i="48"/>
  <c r="K140" i="48"/>
  <c r="K141" i="48"/>
  <c r="K142" i="48"/>
  <c r="K143" i="48"/>
  <c r="K144" i="48"/>
  <c r="K145" i="48"/>
  <c r="K146" i="48"/>
  <c r="K147" i="48"/>
  <c r="K148" i="48"/>
  <c r="K149" i="48"/>
  <c r="K150" i="48"/>
  <c r="K151" i="48"/>
  <c r="K152" i="48"/>
  <c r="K153" i="48"/>
  <c r="K154" i="48"/>
  <c r="K155" i="48"/>
  <c r="K156" i="48"/>
  <c r="K157" i="48"/>
  <c r="K158" i="48"/>
  <c r="K159" i="48"/>
  <c r="K160" i="48"/>
  <c r="K161" i="48"/>
  <c r="K162" i="48"/>
  <c r="K163" i="48"/>
  <c r="K164" i="48"/>
  <c r="K165" i="48"/>
  <c r="K166" i="48"/>
  <c r="K167" i="48"/>
  <c r="K168" i="48"/>
  <c r="K169" i="48"/>
  <c r="K170" i="48"/>
  <c r="K171" i="48"/>
  <c r="K172" i="48"/>
  <c r="K173" i="48"/>
  <c r="K174" i="48"/>
  <c r="K175" i="48"/>
  <c r="K176" i="48"/>
  <c r="K177" i="48"/>
  <c r="K178" i="48"/>
  <c r="K179" i="48"/>
  <c r="K180" i="48"/>
  <c r="K181" i="48"/>
  <c r="K182" i="48"/>
  <c r="K183" i="48"/>
  <c r="K184" i="48"/>
  <c r="K185" i="48"/>
  <c r="K186" i="48"/>
  <c r="K187" i="48"/>
  <c r="K188" i="48"/>
  <c r="K189" i="48"/>
  <c r="K190" i="48"/>
  <c r="K191" i="48"/>
  <c r="K192" i="48"/>
  <c r="K193" i="48"/>
  <c r="K194" i="48"/>
  <c r="K195" i="48"/>
  <c r="K196" i="48"/>
  <c r="K197" i="48"/>
  <c r="K198" i="48"/>
  <c r="K199" i="48"/>
  <c r="K200" i="48"/>
  <c r="K201" i="48"/>
  <c r="K202" i="48"/>
  <c r="K203" i="48"/>
  <c r="K204" i="48"/>
  <c r="K205" i="48"/>
  <c r="K206" i="48"/>
  <c r="K207" i="48"/>
  <c r="K208" i="48"/>
  <c r="K209" i="48"/>
  <c r="K210" i="48"/>
  <c r="K211" i="48"/>
  <c r="K212" i="48"/>
  <c r="K213" i="48"/>
  <c r="K214" i="48"/>
  <c r="K215" i="48"/>
  <c r="K216" i="48"/>
  <c r="K217" i="48"/>
  <c r="K218" i="48"/>
  <c r="K219" i="48"/>
  <c r="K220" i="48"/>
  <c r="K221" i="48"/>
  <c r="K222" i="48"/>
  <c r="K223" i="48"/>
  <c r="K224" i="48"/>
  <c r="K225" i="48"/>
  <c r="K226" i="48"/>
  <c r="K227" i="48"/>
  <c r="K228" i="48"/>
  <c r="K229" i="48"/>
  <c r="K230" i="48"/>
  <c r="K231" i="48"/>
  <c r="K232" i="48"/>
  <c r="K233" i="48"/>
  <c r="K234" i="48"/>
  <c r="K235" i="48"/>
  <c r="K236" i="48"/>
  <c r="K237" i="48"/>
  <c r="K238" i="48"/>
  <c r="K239" i="48"/>
  <c r="K240" i="48"/>
  <c r="K241" i="48"/>
  <c r="K242" i="48"/>
  <c r="K243" i="48"/>
  <c r="K244" i="48"/>
  <c r="K245" i="48"/>
  <c r="K246" i="48"/>
  <c r="K247" i="48"/>
  <c r="K248" i="48"/>
  <c r="K249" i="48"/>
  <c r="K250" i="48"/>
  <c r="K251" i="48"/>
  <c r="K252" i="48"/>
  <c r="K253" i="48"/>
  <c r="K254" i="48"/>
  <c r="K255" i="48"/>
  <c r="K256" i="48"/>
  <c r="K257" i="48"/>
  <c r="K258" i="48"/>
  <c r="K259" i="48"/>
  <c r="K260" i="48"/>
  <c r="K261" i="48"/>
  <c r="K262" i="48"/>
  <c r="K263" i="48"/>
  <c r="K264" i="48"/>
  <c r="K265" i="48"/>
  <c r="K266" i="48"/>
  <c r="K267" i="48"/>
  <c r="K268" i="48"/>
  <c r="K269" i="48"/>
  <c r="K270" i="48"/>
  <c r="K271" i="48"/>
  <c r="K272" i="48"/>
  <c r="K273" i="48"/>
  <c r="K274" i="48"/>
  <c r="K275" i="48"/>
  <c r="K276" i="48"/>
  <c r="K277" i="48"/>
  <c r="K278" i="48"/>
  <c r="K279" i="48"/>
  <c r="K280" i="48"/>
  <c r="K281" i="48"/>
  <c r="K282" i="48"/>
  <c r="K283" i="48"/>
  <c r="K284" i="48"/>
  <c r="K285" i="48"/>
  <c r="K286" i="48"/>
  <c r="K287" i="48"/>
  <c r="K288" i="48"/>
  <c r="K289" i="48"/>
  <c r="K290" i="48"/>
  <c r="K291" i="48"/>
  <c r="K292" i="48"/>
  <c r="K293" i="48"/>
  <c r="K294" i="48"/>
  <c r="K295" i="48"/>
  <c r="K296" i="48"/>
  <c r="K297" i="48"/>
  <c r="K298" i="48"/>
  <c r="K299" i="48"/>
  <c r="K300" i="48"/>
  <c r="K301" i="48"/>
  <c r="K302" i="48"/>
  <c r="K303" i="48"/>
  <c r="K304" i="48"/>
  <c r="K305" i="48"/>
  <c r="K306" i="48"/>
  <c r="K307" i="48"/>
  <c r="K308" i="48"/>
  <c r="K309" i="48"/>
  <c r="K310" i="48"/>
  <c r="K311" i="48"/>
  <c r="K312" i="48"/>
  <c r="K313" i="48"/>
  <c r="K314" i="48"/>
  <c r="K315" i="48"/>
  <c r="K316" i="48"/>
  <c r="K317" i="48"/>
  <c r="K318" i="48"/>
  <c r="K319" i="48"/>
  <c r="K320" i="48"/>
  <c r="K321" i="48"/>
  <c r="K322" i="48"/>
  <c r="K323" i="48"/>
  <c r="K324" i="48"/>
  <c r="K325" i="48"/>
  <c r="K326" i="48"/>
  <c r="K327" i="48"/>
  <c r="K328" i="48"/>
  <c r="K329" i="48"/>
  <c r="K330" i="48"/>
  <c r="K331" i="48"/>
  <c r="K332" i="48"/>
  <c r="K333" i="48"/>
  <c r="K334" i="48"/>
  <c r="K335" i="48"/>
  <c r="K336" i="48"/>
  <c r="K337" i="48"/>
  <c r="K338" i="48"/>
  <c r="K339" i="48"/>
  <c r="K340" i="48"/>
  <c r="K341" i="48"/>
  <c r="K342" i="48"/>
  <c r="K343" i="48"/>
  <c r="K344" i="48"/>
  <c r="K345" i="48"/>
  <c r="K346" i="48"/>
  <c r="K347" i="48"/>
  <c r="K348" i="48"/>
  <c r="K349" i="48"/>
  <c r="K350" i="48"/>
  <c r="K351" i="48"/>
  <c r="K352" i="48"/>
  <c r="K353" i="48"/>
  <c r="K354" i="48"/>
  <c r="K355" i="48"/>
  <c r="K356" i="48"/>
  <c r="K357" i="48"/>
  <c r="K358" i="48"/>
  <c r="K359" i="48"/>
  <c r="K360" i="48"/>
  <c r="K361" i="48"/>
  <c r="K362" i="48"/>
  <c r="K363" i="48"/>
  <c r="K364" i="48"/>
  <c r="K365" i="48"/>
  <c r="K366" i="48"/>
  <c r="K367" i="48"/>
  <c r="K368" i="48"/>
  <c r="K369" i="48"/>
  <c r="K370" i="48"/>
  <c r="K371" i="48"/>
  <c r="K372" i="48"/>
  <c r="K373" i="48"/>
  <c r="K374" i="48"/>
  <c r="K375" i="48"/>
  <c r="K376" i="48"/>
  <c r="K377" i="48"/>
  <c r="K378" i="48"/>
  <c r="K379" i="48"/>
  <c r="K380" i="48"/>
  <c r="K381" i="48"/>
  <c r="K382" i="48"/>
  <c r="K383" i="48"/>
  <c r="K384" i="48"/>
  <c r="K385" i="48"/>
  <c r="K386" i="48"/>
  <c r="K387" i="48"/>
  <c r="K388" i="48"/>
  <c r="K389" i="48"/>
  <c r="K390" i="48"/>
  <c r="K391" i="48"/>
  <c r="K392" i="48"/>
  <c r="K393" i="48"/>
  <c r="K394" i="48"/>
  <c r="K395" i="48"/>
  <c r="K396" i="48"/>
  <c r="K397" i="48"/>
  <c r="K398" i="48"/>
  <c r="K399" i="48"/>
  <c r="K400" i="48"/>
  <c r="K401" i="48"/>
  <c r="K402" i="48"/>
  <c r="K403" i="48"/>
  <c r="K404" i="48"/>
  <c r="K405" i="48"/>
  <c r="K406" i="48"/>
  <c r="K407" i="48"/>
  <c r="K408" i="48"/>
  <c r="K409" i="48"/>
  <c r="K410" i="48"/>
  <c r="K411" i="48"/>
  <c r="K412" i="48"/>
  <c r="K413" i="48"/>
  <c r="K414" i="48"/>
  <c r="K415" i="48"/>
  <c r="K416" i="48"/>
  <c r="K417" i="48"/>
  <c r="K418" i="48"/>
  <c r="K419" i="48"/>
  <c r="K420" i="48"/>
  <c r="K421" i="48"/>
  <c r="K422" i="48"/>
  <c r="K423" i="48"/>
  <c r="K424" i="48"/>
  <c r="K425" i="48"/>
  <c r="K426" i="48"/>
  <c r="K427" i="48"/>
  <c r="K428" i="48"/>
  <c r="K429" i="48"/>
  <c r="K430" i="48"/>
  <c r="K431" i="48"/>
  <c r="K432" i="48"/>
  <c r="K433" i="48"/>
  <c r="K434" i="48"/>
  <c r="K435" i="48"/>
  <c r="K436" i="48"/>
  <c r="K437" i="48"/>
  <c r="K438" i="48"/>
  <c r="K439" i="48"/>
  <c r="K440" i="48"/>
  <c r="K441" i="48"/>
  <c r="K442" i="48"/>
  <c r="K443" i="48"/>
  <c r="K444" i="48"/>
  <c r="K445" i="48"/>
  <c r="K446" i="48"/>
  <c r="K447" i="48"/>
  <c r="K448" i="48"/>
  <c r="K449" i="48"/>
  <c r="K450" i="48"/>
  <c r="K451" i="48"/>
  <c r="K452" i="48"/>
  <c r="K453" i="48"/>
  <c r="K454" i="48"/>
  <c r="K455" i="48"/>
  <c r="K456" i="48"/>
  <c r="K457" i="48"/>
  <c r="K458" i="48"/>
  <c r="K459" i="48"/>
  <c r="K460" i="48"/>
  <c r="K461" i="48"/>
  <c r="K462" i="48"/>
  <c r="K463" i="48"/>
  <c r="K464" i="48"/>
  <c r="K465" i="48"/>
  <c r="K466" i="48"/>
  <c r="K467" i="48"/>
  <c r="K468" i="48"/>
  <c r="K469" i="48"/>
  <c r="K470" i="48"/>
  <c r="K471" i="48"/>
  <c r="K472" i="48"/>
  <c r="K473" i="48"/>
  <c r="K474" i="48"/>
  <c r="K475" i="48"/>
  <c r="K476" i="48"/>
  <c r="K477" i="48"/>
  <c r="K478" i="48"/>
  <c r="K479" i="48"/>
  <c r="K480" i="48"/>
  <c r="K481" i="48"/>
  <c r="K482" i="48"/>
  <c r="K483" i="48"/>
  <c r="K484" i="48"/>
  <c r="K485" i="48"/>
  <c r="K486" i="48"/>
  <c r="K487" i="48"/>
  <c r="K488" i="48"/>
  <c r="K489" i="48"/>
  <c r="K490" i="48"/>
  <c r="K491" i="48"/>
  <c r="K492" i="48"/>
  <c r="K493" i="48"/>
  <c r="K494" i="48"/>
  <c r="K495" i="48"/>
  <c r="K496" i="48"/>
  <c r="K497" i="48"/>
  <c r="K498" i="48"/>
  <c r="K499" i="48"/>
  <c r="K500" i="48"/>
  <c r="K501" i="48"/>
  <c r="K502" i="48"/>
  <c r="K503" i="48"/>
  <c r="K504" i="48"/>
  <c r="K505" i="48"/>
  <c r="K506" i="48"/>
  <c r="K507" i="48"/>
  <c r="K508" i="48"/>
  <c r="K509" i="48"/>
  <c r="K510" i="48"/>
  <c r="K511" i="48"/>
  <c r="K512" i="48"/>
  <c r="K513" i="48"/>
  <c r="K514" i="48"/>
  <c r="K515" i="48"/>
  <c r="K516" i="48"/>
  <c r="K517" i="48"/>
  <c r="K518" i="48"/>
  <c r="K519" i="48"/>
  <c r="K520" i="48"/>
  <c r="K521" i="48"/>
  <c r="K522" i="48"/>
  <c r="K523" i="48"/>
  <c r="K524" i="48"/>
  <c r="K525" i="48"/>
  <c r="K526" i="48"/>
  <c r="K527" i="48"/>
  <c r="K528" i="48"/>
  <c r="K529" i="48"/>
  <c r="K530" i="48"/>
  <c r="K531" i="48"/>
  <c r="K532" i="48"/>
  <c r="K533" i="48"/>
  <c r="K534" i="48"/>
  <c r="K535" i="48"/>
  <c r="K536" i="48"/>
  <c r="K537" i="48"/>
  <c r="K538" i="48"/>
  <c r="K539" i="48"/>
  <c r="K540" i="48"/>
  <c r="K541" i="48"/>
  <c r="K542" i="48"/>
  <c r="K543" i="48"/>
  <c r="K544" i="48"/>
  <c r="K545" i="48"/>
  <c r="K546" i="48"/>
  <c r="K547" i="48"/>
  <c r="K548" i="48"/>
  <c r="K549" i="48"/>
  <c r="K550" i="48"/>
  <c r="K551" i="48"/>
  <c r="K552" i="48"/>
  <c r="K553" i="48"/>
  <c r="K554" i="48"/>
  <c r="K555" i="48"/>
  <c r="K556" i="48"/>
  <c r="K557" i="48"/>
  <c r="K558" i="48"/>
  <c r="K559" i="48"/>
  <c r="K560" i="48"/>
  <c r="K561" i="48"/>
  <c r="K562" i="48"/>
  <c r="K563" i="48"/>
  <c r="K564" i="48"/>
  <c r="K565" i="48"/>
  <c r="K566" i="48"/>
  <c r="K567" i="48"/>
  <c r="K568" i="48"/>
  <c r="K569" i="48"/>
  <c r="K570" i="48"/>
  <c r="K571" i="48"/>
  <c r="K9" i="48"/>
  <c r="B1" i="48"/>
  <c r="O4" i="48"/>
  <c r="N4" i="48"/>
  <c r="M5" i="48"/>
  <c r="M6" i="48"/>
  <c r="M4" i="48"/>
  <c r="L4" i="48"/>
  <c r="L5" i="48"/>
  <c r="L6" i="48"/>
  <c r="M14" i="81"/>
  <c r="N14" i="81"/>
  <c r="O14" i="81"/>
  <c r="P14" i="81"/>
  <c r="M15" i="81"/>
  <c r="N15" i="81"/>
  <c r="O15" i="81"/>
  <c r="P15" i="81"/>
  <c r="M16" i="81"/>
  <c r="N16" i="81"/>
  <c r="O16" i="81"/>
  <c r="P16" i="81"/>
  <c r="M17" i="81"/>
  <c r="N17" i="81"/>
  <c r="O17" i="81"/>
  <c r="P17" i="81"/>
  <c r="N13" i="81"/>
  <c r="O13" i="81"/>
  <c r="P13" i="81"/>
  <c r="M13" i="81"/>
  <c r="M3" i="81"/>
  <c r="M4" i="81"/>
  <c r="M5" i="81"/>
  <c r="M6" i="81"/>
  <c r="M2" i="81"/>
  <c r="M8" i="81"/>
  <c r="H11" i="23"/>
  <c r="J3" i="23"/>
  <c r="J4" i="23"/>
  <c r="J5" i="23"/>
  <c r="J6" i="23"/>
  <c r="J7" i="23"/>
  <c r="J8" i="23"/>
  <c r="J9" i="23"/>
  <c r="J10" i="23"/>
  <c r="J2" i="23"/>
  <c r="J11" i="23" s="1"/>
  <c r="E3" i="23"/>
  <c r="E4" i="23"/>
  <c r="E5" i="23"/>
  <c r="E6" i="23"/>
  <c r="E7" i="23"/>
  <c r="E8" i="23"/>
  <c r="E9" i="23"/>
  <c r="E10" i="23"/>
  <c r="E11" i="23"/>
  <c r="E12" i="23"/>
  <c r="E13" i="23"/>
  <c r="E14" i="23"/>
  <c r="E15" i="23"/>
  <c r="E16" i="23"/>
  <c r="E17" i="23"/>
  <c r="E18" i="23"/>
  <c r="E19" i="23"/>
  <c r="E20" i="23"/>
  <c r="E21" i="23"/>
  <c r="D3" i="23"/>
  <c r="D4" i="23"/>
  <c r="D5" i="23"/>
  <c r="D6" i="23"/>
  <c r="D7" i="23"/>
  <c r="D8" i="23"/>
  <c r="D9" i="23"/>
  <c r="D10" i="23"/>
  <c r="D11" i="23"/>
  <c r="D12" i="23"/>
  <c r="D13" i="23"/>
  <c r="D14" i="23"/>
  <c r="D15" i="23"/>
  <c r="D16" i="23"/>
  <c r="D17" i="23"/>
  <c r="D18" i="23"/>
  <c r="D19" i="23"/>
  <c r="D20" i="23"/>
  <c r="D21" i="23"/>
  <c r="F2" i="23"/>
  <c r="F3" i="23"/>
  <c r="F4" i="23"/>
  <c r="F5" i="23"/>
  <c r="F6" i="23"/>
  <c r="F7" i="23"/>
  <c r="F8" i="23"/>
  <c r="F9" i="23"/>
  <c r="F10" i="23"/>
  <c r="F11" i="23"/>
  <c r="F12" i="23"/>
  <c r="F13" i="23"/>
  <c r="F14" i="23"/>
  <c r="F15" i="23"/>
  <c r="F16" i="23"/>
  <c r="F17" i="23"/>
  <c r="F18" i="23"/>
  <c r="F19" i="23"/>
  <c r="F20" i="23"/>
  <c r="F21" i="23"/>
  <c r="E2" i="23"/>
  <c r="D2" i="23"/>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2" i="21"/>
  <c r="I16" i="90"/>
  <c r="K18" i="90"/>
  <c r="K12" i="90"/>
  <c r="K17" i="90"/>
  <c r="K16" i="90"/>
  <c r="K15" i="90"/>
  <c r="K14" i="90"/>
  <c r="K13" i="90"/>
  <c r="K11" i="90"/>
  <c r="L3" i="90"/>
  <c r="L4" i="90"/>
  <c r="L5" i="90"/>
  <c r="L6" i="90"/>
  <c r="L2" i="90"/>
  <c r="F13" i="90"/>
  <c r="G14" i="90"/>
  <c r="G13" i="90"/>
  <c r="I3" i="90"/>
  <c r="I4" i="90"/>
  <c r="I5" i="90"/>
  <c r="I6" i="90"/>
  <c r="I2" i="90"/>
  <c r="D3" i="90"/>
  <c r="F3" i="90" s="1"/>
  <c r="D4" i="90"/>
  <c r="F4" i="90" s="1"/>
  <c r="D6" i="90"/>
  <c r="G6" i="90" s="1"/>
  <c r="C2" i="90"/>
  <c r="M2" i="90" s="1"/>
  <c r="B3" i="90"/>
  <c r="C3" i="90" s="1"/>
  <c r="B4" i="90"/>
  <c r="C4" i="90" s="1"/>
  <c r="B5" i="90"/>
  <c r="C5" i="90" s="1"/>
  <c r="M5" i="90" s="1"/>
  <c r="B6" i="90"/>
  <c r="C6" i="90" s="1"/>
  <c r="B7" i="90"/>
  <c r="D7" i="90" s="1"/>
  <c r="E7" i="90" s="1"/>
  <c r="B2" i="90"/>
  <c r="D2" i="90" s="1"/>
  <c r="G10" i="20"/>
  <c r="H10" i="82"/>
  <c r="I10" i="82"/>
  <c r="G10" i="82"/>
  <c r="G9" i="82"/>
  <c r="H9" i="82"/>
  <c r="I9" i="82"/>
  <c r="H8" i="82"/>
  <c r="I8" i="82"/>
  <c r="G8" i="82"/>
  <c r="G4" i="82"/>
  <c r="G3" i="82"/>
  <c r="G2" i="82"/>
  <c r="L6" i="89"/>
  <c r="E6" i="89" s="1"/>
  <c r="L7" i="89"/>
  <c r="E7" i="89" s="1"/>
  <c r="L8" i="89"/>
  <c r="E8" i="89" s="1"/>
  <c r="L9" i="89"/>
  <c r="E9" i="89" s="1"/>
  <c r="L5" i="89"/>
  <c r="E5" i="89" s="1"/>
  <c r="E8" i="84"/>
  <c r="E6" i="84"/>
  <c r="E7" i="84"/>
  <c r="E5" i="84"/>
  <c r="E2" i="84"/>
  <c r="C12" i="88"/>
  <c r="D12" i="88"/>
  <c r="E12" i="88"/>
  <c r="B12" i="88"/>
  <c r="B23" i="74"/>
  <c r="K4" i="19"/>
  <c r="L4" i="19"/>
  <c r="M4" i="19"/>
  <c r="N4" i="19"/>
  <c r="K5" i="19"/>
  <c r="L5" i="19"/>
  <c r="M5" i="19"/>
  <c r="N5" i="19"/>
  <c r="K6" i="19"/>
  <c r="L6" i="19"/>
  <c r="M6" i="19"/>
  <c r="N6" i="19"/>
  <c r="L3" i="19"/>
  <c r="M3" i="19"/>
  <c r="N3" i="19"/>
  <c r="K3" i="19"/>
  <c r="B21" i="66"/>
  <c r="B23" i="66"/>
  <c r="N11" i="69"/>
  <c r="N12" i="69"/>
  <c r="B22" i="67"/>
  <c r="D2" i="74"/>
  <c r="F13" i="74"/>
  <c r="F14" i="74"/>
  <c r="F15" i="74"/>
  <c r="F16" i="74"/>
  <c r="F17" i="74"/>
  <c r="F12" i="74"/>
  <c r="E13" i="74"/>
  <c r="E14" i="74"/>
  <c r="E15" i="74"/>
  <c r="E16" i="74"/>
  <c r="E17" i="74"/>
  <c r="E12" i="74"/>
  <c r="D12" i="74"/>
  <c r="D17" i="74"/>
  <c r="D16" i="74"/>
  <c r="D15" i="74"/>
  <c r="D14" i="74"/>
  <c r="D13" i="74"/>
  <c r="D3" i="74"/>
  <c r="D4" i="74"/>
  <c r="D5" i="74"/>
  <c r="D6" i="74"/>
  <c r="D7" i="74"/>
  <c r="E3" i="74"/>
  <c r="E4" i="74"/>
  <c r="E5" i="74"/>
  <c r="E6" i="74"/>
  <c r="E7" i="74"/>
  <c r="E2" i="74"/>
  <c r="G3" i="72"/>
  <c r="G2" i="72"/>
  <c r="G5" i="72" s="1"/>
  <c r="B10" i="72"/>
  <c r="C10" i="72"/>
  <c r="D10" i="72"/>
  <c r="B11" i="72"/>
  <c r="C11" i="72"/>
  <c r="D11" i="72"/>
  <c r="C9" i="72"/>
  <c r="D9" i="72"/>
  <c r="B9" i="72"/>
  <c r="D4" i="72"/>
  <c r="D3" i="72"/>
  <c r="C16" i="69"/>
  <c r="D16" i="69"/>
  <c r="E16" i="69"/>
  <c r="F16" i="69"/>
  <c r="G16" i="69"/>
  <c r="H16" i="69"/>
  <c r="I16" i="69"/>
  <c r="J16" i="69"/>
  <c r="K16" i="69"/>
  <c r="C17" i="69"/>
  <c r="D17" i="69"/>
  <c r="E17" i="69"/>
  <c r="F17" i="69"/>
  <c r="G17" i="69"/>
  <c r="H17" i="69"/>
  <c r="I17" i="69"/>
  <c r="J17" i="69"/>
  <c r="K17" i="69"/>
  <c r="C18" i="69"/>
  <c r="D18" i="69"/>
  <c r="E18" i="69"/>
  <c r="F18" i="69"/>
  <c r="G18" i="69"/>
  <c r="H18" i="69"/>
  <c r="I18" i="69"/>
  <c r="J18" i="69"/>
  <c r="K18" i="69"/>
  <c r="C19" i="69"/>
  <c r="D19" i="69"/>
  <c r="E19" i="69"/>
  <c r="F19" i="69"/>
  <c r="G19" i="69"/>
  <c r="H19" i="69"/>
  <c r="I19" i="69"/>
  <c r="J19" i="69"/>
  <c r="K19" i="69"/>
  <c r="C20" i="69"/>
  <c r="D20" i="69"/>
  <c r="E20" i="69"/>
  <c r="F20" i="69"/>
  <c r="G20" i="69"/>
  <c r="H20" i="69"/>
  <c r="I20" i="69"/>
  <c r="J20" i="69"/>
  <c r="K20" i="69"/>
  <c r="C21" i="69"/>
  <c r="D21" i="69"/>
  <c r="E21" i="69"/>
  <c r="F21" i="69"/>
  <c r="G21" i="69"/>
  <c r="H21" i="69"/>
  <c r="I21" i="69"/>
  <c r="J21" i="69"/>
  <c r="K21" i="69"/>
  <c r="C22" i="69"/>
  <c r="D22" i="69"/>
  <c r="E22" i="69"/>
  <c r="F22" i="69"/>
  <c r="G22" i="69"/>
  <c r="H22" i="69"/>
  <c r="I22" i="69"/>
  <c r="J22" i="69"/>
  <c r="K22" i="69"/>
  <c r="C23" i="69"/>
  <c r="D23" i="69"/>
  <c r="E23" i="69"/>
  <c r="F23" i="69"/>
  <c r="G23" i="69"/>
  <c r="H23" i="69"/>
  <c r="I23" i="69"/>
  <c r="J23" i="69"/>
  <c r="K23" i="69"/>
  <c r="D15" i="69"/>
  <c r="E15" i="69"/>
  <c r="F15" i="69"/>
  <c r="G15" i="69"/>
  <c r="H15" i="69"/>
  <c r="I15" i="69"/>
  <c r="J15" i="69"/>
  <c r="K15" i="69"/>
  <c r="C15" i="69"/>
  <c r="C4" i="69"/>
  <c r="D4" i="69"/>
  <c r="E4" i="69"/>
  <c r="F4" i="69"/>
  <c r="G4" i="69"/>
  <c r="H4" i="69"/>
  <c r="I4" i="69"/>
  <c r="J4" i="69"/>
  <c r="K4" i="69"/>
  <c r="C5" i="69"/>
  <c r="D5" i="69"/>
  <c r="E5" i="69"/>
  <c r="F5" i="69"/>
  <c r="G5" i="69"/>
  <c r="H5" i="69"/>
  <c r="I5" i="69"/>
  <c r="J5" i="69"/>
  <c r="K5" i="69"/>
  <c r="C6" i="69"/>
  <c r="D6" i="69"/>
  <c r="E6" i="69"/>
  <c r="F6" i="69"/>
  <c r="G6" i="69"/>
  <c r="H6" i="69"/>
  <c r="I6" i="69"/>
  <c r="J6" i="69"/>
  <c r="N7" i="69" s="1"/>
  <c r="K6" i="69"/>
  <c r="C7" i="69"/>
  <c r="D7" i="69"/>
  <c r="E7" i="69"/>
  <c r="F7" i="69"/>
  <c r="G7" i="69"/>
  <c r="H7" i="69"/>
  <c r="I7" i="69"/>
  <c r="J7" i="69"/>
  <c r="K7" i="69"/>
  <c r="C8" i="69"/>
  <c r="D8" i="69"/>
  <c r="E8" i="69"/>
  <c r="F8" i="69"/>
  <c r="G8" i="69"/>
  <c r="H8" i="69"/>
  <c r="I8" i="69"/>
  <c r="J8" i="69"/>
  <c r="K8" i="69"/>
  <c r="C9" i="69"/>
  <c r="D9" i="69"/>
  <c r="E9" i="69"/>
  <c r="F9" i="69"/>
  <c r="G9" i="69"/>
  <c r="H9" i="69"/>
  <c r="I9" i="69"/>
  <c r="J9" i="69"/>
  <c r="K9" i="69"/>
  <c r="C10" i="69"/>
  <c r="D10" i="69"/>
  <c r="E10" i="69"/>
  <c r="F10" i="69"/>
  <c r="G10" i="69"/>
  <c r="H10" i="69"/>
  <c r="I10" i="69"/>
  <c r="J10" i="69"/>
  <c r="K10" i="69"/>
  <c r="C11" i="69"/>
  <c r="D11" i="69"/>
  <c r="E11" i="69"/>
  <c r="F11" i="69"/>
  <c r="G11" i="69"/>
  <c r="H11" i="69"/>
  <c r="I11" i="69"/>
  <c r="J11" i="69"/>
  <c r="K11" i="69"/>
  <c r="D3" i="69"/>
  <c r="E3" i="69"/>
  <c r="F3" i="69"/>
  <c r="G3" i="69"/>
  <c r="H3" i="69"/>
  <c r="I3" i="69"/>
  <c r="J3" i="69"/>
  <c r="K3" i="69"/>
  <c r="C3" i="69"/>
  <c r="N6" i="69" l="1"/>
  <c r="N14" i="69"/>
  <c r="N13" i="69"/>
  <c r="N10" i="69"/>
  <c r="N9" i="69"/>
  <c r="N8" i="69"/>
  <c r="G4" i="90"/>
  <c r="G3" i="90"/>
  <c r="M6" i="90"/>
  <c r="K6" i="90"/>
  <c r="M4" i="90"/>
  <c r="K4" i="90"/>
  <c r="M3" i="90"/>
  <c r="K3" i="90"/>
  <c r="E2" i="90"/>
  <c r="J2" i="90" s="1"/>
  <c r="G2" i="90"/>
  <c r="H2" i="90"/>
  <c r="F2" i="90"/>
  <c r="H4" i="90"/>
  <c r="E6" i="90"/>
  <c r="J6" i="90" s="1"/>
  <c r="K2" i="90"/>
  <c r="H3" i="90"/>
  <c r="C7" i="90"/>
  <c r="F6" i="90"/>
  <c r="K5" i="90"/>
  <c r="E4" i="90"/>
  <c r="J4" i="90" s="1"/>
  <c r="E3" i="90"/>
  <c r="J3" i="90" s="1"/>
  <c r="H6" i="90"/>
  <c r="D5" i="90"/>
  <c r="H4" i="82"/>
  <c r="G10" i="72"/>
  <c r="G9" i="72"/>
  <c r="G8" i="72"/>
  <c r="G7" i="72"/>
  <c r="G6" i="72"/>
  <c r="F5" i="90" l="1"/>
  <c r="H5" i="90"/>
  <c r="G5" i="90"/>
  <c r="E5" i="90"/>
  <c r="J5" i="90" s="1"/>
  <c r="F6" i="16"/>
  <c r="F7" i="16"/>
  <c r="F8" i="16"/>
  <c r="F9" i="16"/>
  <c r="F10" i="16"/>
  <c r="F12" i="16"/>
  <c r="F2" i="16"/>
  <c r="E4" i="16"/>
  <c r="E7" i="16"/>
  <c r="E9" i="16"/>
  <c r="E11" i="16"/>
  <c r="E2" i="16"/>
  <c r="D3" i="16"/>
  <c r="B14" i="16" s="1"/>
  <c r="D4" i="16"/>
  <c r="F4" i="16" s="1"/>
  <c r="D5" i="16"/>
  <c r="E5" i="16" s="1"/>
  <c r="D6" i="16"/>
  <c r="E6" i="16" s="1"/>
  <c r="D7" i="16"/>
  <c r="D8" i="16"/>
  <c r="E8" i="16" s="1"/>
  <c r="D9" i="16"/>
  <c r="D10" i="16"/>
  <c r="E10" i="16" s="1"/>
  <c r="D11" i="16"/>
  <c r="F11" i="16" s="1"/>
  <c r="D12" i="16"/>
  <c r="E12" i="16" s="1"/>
  <c r="D2" i="16"/>
  <c r="B16" i="16" s="1"/>
  <c r="H3" i="15"/>
  <c r="H4" i="15"/>
  <c r="H5" i="15"/>
  <c r="H6" i="15"/>
  <c r="H7" i="15"/>
  <c r="H8" i="15"/>
  <c r="H9" i="15"/>
  <c r="H2" i="15"/>
  <c r="E3" i="15"/>
  <c r="E4" i="15"/>
  <c r="E5" i="15"/>
  <c r="E6" i="15"/>
  <c r="E7" i="15"/>
  <c r="E8" i="15"/>
  <c r="E9" i="15"/>
  <c r="E2" i="15"/>
  <c r="D3" i="15"/>
  <c r="D4" i="15"/>
  <c r="D5" i="15"/>
  <c r="D6" i="15"/>
  <c r="D7" i="15"/>
  <c r="D8" i="15"/>
  <c r="D9" i="15"/>
  <c r="D2" i="15"/>
  <c r="C3" i="15"/>
  <c r="F3" i="15" s="1"/>
  <c r="C4" i="15"/>
  <c r="F4" i="15" s="1"/>
  <c r="C5" i="15"/>
  <c r="F5" i="15" s="1"/>
  <c r="C6" i="15"/>
  <c r="F6" i="15" s="1"/>
  <c r="C7" i="15"/>
  <c r="F7" i="15" s="1"/>
  <c r="C8" i="15"/>
  <c r="F8" i="15" s="1"/>
  <c r="C9" i="15"/>
  <c r="F9" i="15" s="1"/>
  <c r="C2" i="15"/>
  <c r="F2" i="15" s="1"/>
  <c r="D3" i="14"/>
  <c r="D4" i="14"/>
  <c r="D2" i="14"/>
  <c r="E3" i="14"/>
  <c r="E4" i="14"/>
  <c r="E2" i="14"/>
  <c r="B32" i="13"/>
  <c r="B31" i="13"/>
  <c r="K21" i="13"/>
  <c r="K20" i="13"/>
  <c r="H21" i="13"/>
  <c r="H20" i="13"/>
  <c r="E20" i="13"/>
  <c r="B20" i="13"/>
  <c r="M9" i="13"/>
  <c r="J9" i="13"/>
  <c r="G5" i="13"/>
  <c r="G9" i="13" s="1"/>
  <c r="G6" i="13"/>
  <c r="G7" i="13"/>
  <c r="G8" i="13"/>
  <c r="G4" i="13"/>
  <c r="B9" i="13"/>
  <c r="H2" i="24"/>
  <c r="H3" i="24"/>
  <c r="H4" i="24"/>
  <c r="H5" i="24"/>
  <c r="H6" i="24"/>
  <c r="H7" i="24"/>
  <c r="H8" i="24"/>
  <c r="H9" i="24"/>
  <c r="H10" i="24"/>
  <c r="H11" i="24"/>
  <c r="H12" i="24"/>
  <c r="H13" i="24"/>
  <c r="H14" i="24"/>
  <c r="H15" i="24"/>
  <c r="H16" i="24"/>
  <c r="H17" i="24"/>
  <c r="K12" i="24" s="1"/>
  <c r="H18" i="24"/>
  <c r="H19" i="24"/>
  <c r="H20" i="24"/>
  <c r="H21" i="24"/>
  <c r="A4" i="84"/>
  <c r="E4" i="84" s="1"/>
  <c r="A3" i="84"/>
  <c r="E3" i="84" s="1"/>
  <c r="G8" i="15" l="1"/>
  <c r="I8" i="15" s="1"/>
  <c r="G5" i="15"/>
  <c r="I5" i="15" s="1"/>
  <c r="G3" i="15"/>
  <c r="I3" i="15"/>
  <c r="G2" i="15"/>
  <c r="I2" i="15" s="1"/>
  <c r="G6" i="15"/>
  <c r="I6" i="15"/>
  <c r="B17" i="16"/>
  <c r="G9" i="15"/>
  <c r="I9" i="15" s="1"/>
  <c r="I7" i="15"/>
  <c r="G7" i="15"/>
  <c r="G4" i="15"/>
  <c r="I4" i="15"/>
  <c r="F3" i="16"/>
  <c r="E3" i="16"/>
  <c r="B13" i="16"/>
  <c r="B15" i="16"/>
  <c r="B19" i="16"/>
  <c r="F5" i="16"/>
  <c r="B18" i="16" s="1"/>
  <c r="H38" i="79"/>
  <c r="H37" i="79"/>
  <c r="H36" i="79"/>
  <c r="H35" i="79"/>
  <c r="H34" i="79"/>
  <c r="H33" i="79"/>
  <c r="H32" i="79"/>
  <c r="H31" i="79"/>
  <c r="H30" i="79"/>
  <c r="H29" i="79"/>
  <c r="H28" i="79"/>
  <c r="H27" i="79"/>
  <c r="H26" i="79"/>
  <c r="H25" i="79"/>
  <c r="H24" i="79"/>
  <c r="H23" i="79"/>
  <c r="H22" i="79"/>
  <c r="H21" i="79"/>
  <c r="H20" i="79"/>
  <c r="H19" i="79"/>
  <c r="H18" i="79"/>
  <c r="H17" i="79"/>
  <c r="H16" i="79"/>
  <c r="H15" i="79"/>
  <c r="H14" i="79"/>
  <c r="H13" i="79"/>
  <c r="H12" i="79"/>
  <c r="H11" i="79"/>
  <c r="H10" i="79"/>
  <c r="H9" i="79"/>
  <c r="H8" i="79"/>
  <c r="H7" i="79"/>
  <c r="H6" i="79"/>
  <c r="H5" i="79"/>
  <c r="H4" i="79"/>
  <c r="H3" i="79"/>
  <c r="H2" i="79"/>
  <c r="H30" i="78"/>
  <c r="H29" i="78"/>
  <c r="H28" i="78"/>
  <c r="H27" i="78"/>
  <c r="H26" i="78"/>
  <c r="H25" i="78"/>
  <c r="H24" i="78"/>
  <c r="H23" i="78"/>
  <c r="H22" i="78"/>
  <c r="H21" i="78"/>
  <c r="H20" i="78"/>
  <c r="H19" i="78"/>
  <c r="H18" i="78"/>
  <c r="H17" i="78"/>
  <c r="H16" i="78"/>
  <c r="H15" i="78"/>
  <c r="H14" i="78"/>
  <c r="H13" i="78"/>
  <c r="H12" i="78"/>
  <c r="H11" i="78"/>
  <c r="H10" i="78"/>
  <c r="H9" i="78"/>
  <c r="H8" i="78"/>
  <c r="H7" i="78"/>
  <c r="H6" i="78"/>
  <c r="H5" i="78"/>
  <c r="H4" i="78"/>
  <c r="H3" i="78"/>
  <c r="H2" i="78"/>
  <c r="H29" i="77"/>
  <c r="H28" i="77"/>
  <c r="H27" i="77"/>
  <c r="H26" i="77"/>
  <c r="H25" i="77"/>
  <c r="H24" i="77"/>
  <c r="H23" i="77"/>
  <c r="H22" i="77"/>
  <c r="H21" i="77"/>
  <c r="H20" i="77"/>
  <c r="H19" i="77"/>
  <c r="H18" i="77"/>
  <c r="H17" i="77"/>
  <c r="H16" i="77"/>
  <c r="H15" i="77"/>
  <c r="H14" i="77"/>
  <c r="H13" i="77"/>
  <c r="H12" i="77"/>
  <c r="H11" i="77"/>
  <c r="H10" i="77"/>
  <c r="H9" i="77"/>
  <c r="H8" i="77"/>
  <c r="H7" i="77"/>
  <c r="H6" i="77"/>
  <c r="H5" i="77"/>
  <c r="H4" i="77"/>
  <c r="H3" i="77"/>
  <c r="H2" i="77"/>
  <c r="J95" i="75" l="1"/>
  <c r="J94" i="75"/>
  <c r="J93" i="75"/>
  <c r="J92" i="75"/>
  <c r="J91" i="75"/>
  <c r="J90" i="75"/>
  <c r="J89" i="75"/>
  <c r="J88" i="75"/>
  <c r="J87" i="75"/>
  <c r="J86" i="75"/>
  <c r="J85" i="75"/>
  <c r="J84" i="75"/>
  <c r="J83" i="75"/>
  <c r="J82" i="75"/>
  <c r="J81" i="75"/>
  <c r="J80" i="75"/>
  <c r="J79" i="75"/>
  <c r="J78" i="75"/>
  <c r="J77" i="75"/>
  <c r="J76" i="75"/>
  <c r="J75" i="75"/>
  <c r="J74" i="75"/>
  <c r="J73" i="75"/>
  <c r="J72" i="75"/>
  <c r="J71" i="75"/>
  <c r="J70" i="75"/>
  <c r="J69" i="75"/>
  <c r="J68" i="75"/>
  <c r="J67" i="75"/>
  <c r="J66" i="75"/>
  <c r="J65" i="75"/>
  <c r="J64" i="75"/>
  <c r="J63" i="75"/>
  <c r="J62" i="75"/>
  <c r="J61" i="75"/>
  <c r="J60" i="75"/>
  <c r="J59" i="75"/>
  <c r="J58" i="75"/>
  <c r="J57" i="75"/>
  <c r="J56" i="75"/>
  <c r="J55" i="75"/>
  <c r="J54" i="75"/>
  <c r="J53" i="75"/>
  <c r="J52" i="75"/>
  <c r="J51" i="75"/>
  <c r="J50" i="75"/>
  <c r="J49" i="75"/>
  <c r="J48" i="75"/>
  <c r="J47" i="75"/>
  <c r="J46" i="75"/>
  <c r="J45" i="75"/>
  <c r="J44" i="75"/>
  <c r="J43" i="75"/>
  <c r="J42" i="75"/>
  <c r="J41" i="75"/>
  <c r="J40" i="75"/>
  <c r="J39" i="75"/>
  <c r="J38" i="75"/>
  <c r="J37" i="75"/>
  <c r="J36" i="75"/>
  <c r="J35" i="75"/>
  <c r="J34" i="75"/>
  <c r="J33" i="75"/>
  <c r="J32" i="75"/>
  <c r="J31" i="75"/>
  <c r="J30" i="75"/>
  <c r="J29" i="75"/>
  <c r="J28" i="75"/>
  <c r="J27" i="75"/>
  <c r="J26" i="75"/>
  <c r="J25" i="75"/>
  <c r="J24" i="75"/>
  <c r="J23" i="75"/>
  <c r="J22" i="75"/>
  <c r="J21" i="75"/>
  <c r="J20" i="75"/>
  <c r="J19" i="75"/>
  <c r="J18" i="75"/>
  <c r="J17" i="75"/>
  <c r="J16" i="75"/>
  <c r="J15" i="75"/>
  <c r="J14" i="75"/>
  <c r="J13" i="75"/>
  <c r="J12" i="75"/>
  <c r="J11" i="75"/>
  <c r="J10" i="75"/>
  <c r="J9" i="75"/>
  <c r="J8" i="75"/>
  <c r="J7" i="75"/>
  <c r="J6" i="75"/>
  <c r="J5" i="75"/>
  <c r="J4" i="75"/>
  <c r="J3" i="75"/>
  <c r="J2" i="75"/>
  <c r="L3" i="32" l="1"/>
  <c r="L4" i="32"/>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2" i="32"/>
  <c r="M31" i="32" l="1"/>
  <c r="N31" i="32" s="1"/>
  <c r="M30" i="32"/>
  <c r="N30" i="32" s="1"/>
  <c r="M27" i="32"/>
  <c r="N27" i="32" s="1"/>
  <c r="M26" i="32"/>
  <c r="N26" i="32" s="1"/>
  <c r="M23" i="32"/>
  <c r="N23" i="32" s="1"/>
  <c r="M22" i="32"/>
  <c r="N22" i="32" s="1"/>
  <c r="M19" i="32"/>
  <c r="N19" i="32" s="1"/>
  <c r="M18" i="32"/>
  <c r="N18" i="32" s="1"/>
  <c r="M15" i="32"/>
  <c r="N15" i="32" s="1"/>
  <c r="M14" i="32"/>
  <c r="N14" i="32" s="1"/>
  <c r="M11" i="32"/>
  <c r="N11" i="32" s="1"/>
  <c r="M10" i="32"/>
  <c r="N10" i="32" s="1"/>
  <c r="M7" i="32"/>
  <c r="N7" i="32" s="1"/>
  <c r="M6" i="32"/>
  <c r="N6" i="32" s="1"/>
  <c r="M3" i="32"/>
  <c r="N3" i="32" s="1"/>
  <c r="M2" i="32"/>
  <c r="N2" i="32" s="1"/>
  <c r="D571" i="48"/>
  <c r="D570" i="48"/>
  <c r="D569" i="48"/>
  <c r="D568" i="48"/>
  <c r="D567" i="48"/>
  <c r="D566" i="48"/>
  <c r="D565" i="48"/>
  <c r="D564" i="48"/>
  <c r="D563" i="48"/>
  <c r="D562" i="48"/>
  <c r="D561" i="48"/>
  <c r="D560" i="48"/>
  <c r="D559" i="48"/>
  <c r="D558" i="48"/>
  <c r="D557" i="48"/>
  <c r="D556" i="48"/>
  <c r="D555" i="48"/>
  <c r="D554" i="48"/>
  <c r="D553" i="48"/>
  <c r="D552" i="48"/>
  <c r="D551" i="48"/>
  <c r="D550" i="48"/>
  <c r="D549" i="48"/>
  <c r="D548" i="48"/>
  <c r="D547" i="48"/>
  <c r="D546" i="48"/>
  <c r="D545" i="48"/>
  <c r="D544" i="48"/>
  <c r="D543" i="48"/>
  <c r="D542" i="48"/>
  <c r="D541" i="48"/>
  <c r="D540" i="48"/>
  <c r="D539" i="48"/>
  <c r="D538" i="48"/>
  <c r="D537" i="48"/>
  <c r="D536" i="48"/>
  <c r="D535" i="48"/>
  <c r="D534" i="48"/>
  <c r="D533" i="48"/>
  <c r="D532" i="48"/>
  <c r="D531" i="48"/>
  <c r="D530" i="48"/>
  <c r="D529" i="48"/>
  <c r="D528" i="48"/>
  <c r="D527" i="48"/>
  <c r="D526" i="48"/>
  <c r="D525" i="48"/>
  <c r="D524" i="48"/>
  <c r="D523" i="48"/>
  <c r="D522" i="48"/>
  <c r="D521" i="48"/>
  <c r="D520" i="48"/>
  <c r="D519" i="48"/>
  <c r="D518" i="48"/>
  <c r="D517" i="48"/>
  <c r="D516" i="48"/>
  <c r="D515" i="48"/>
  <c r="D514" i="48"/>
  <c r="D513" i="48"/>
  <c r="D512" i="48"/>
  <c r="D511" i="48"/>
  <c r="D510" i="48"/>
  <c r="D509" i="48"/>
  <c r="D508" i="48"/>
  <c r="D507" i="48"/>
  <c r="D506" i="48"/>
  <c r="D505" i="48"/>
  <c r="D504" i="48"/>
  <c r="D503" i="48"/>
  <c r="D502" i="48"/>
  <c r="D501" i="48"/>
  <c r="D500" i="48"/>
  <c r="D499" i="48"/>
  <c r="D498" i="48"/>
  <c r="D497" i="48"/>
  <c r="D496" i="48"/>
  <c r="D495" i="48"/>
  <c r="D494" i="48"/>
  <c r="D493" i="48"/>
  <c r="D492" i="48"/>
  <c r="D491" i="48"/>
  <c r="D490" i="48"/>
  <c r="D489" i="48"/>
  <c r="D488" i="48"/>
  <c r="D487" i="48"/>
  <c r="D486" i="48"/>
  <c r="D485" i="48"/>
  <c r="D484" i="48"/>
  <c r="D483" i="48"/>
  <c r="D482" i="48"/>
  <c r="D481" i="48"/>
  <c r="D480" i="48"/>
  <c r="D479" i="48"/>
  <c r="D478" i="48"/>
  <c r="D477" i="48"/>
  <c r="D476" i="48"/>
  <c r="D475" i="48"/>
  <c r="D474" i="48"/>
  <c r="D473" i="48"/>
  <c r="D472" i="48"/>
  <c r="D471" i="48"/>
  <c r="D470" i="48"/>
  <c r="D469" i="48"/>
  <c r="D468" i="48"/>
  <c r="D467" i="48"/>
  <c r="D466" i="48"/>
  <c r="D465" i="48"/>
  <c r="D464" i="48"/>
  <c r="D463" i="48"/>
  <c r="D462" i="48"/>
  <c r="D461" i="48"/>
  <c r="D460" i="48"/>
  <c r="D459" i="48"/>
  <c r="D458" i="48"/>
  <c r="D457" i="48"/>
  <c r="D456" i="48"/>
  <c r="D455" i="48"/>
  <c r="D454" i="48"/>
  <c r="D453" i="48"/>
  <c r="D452" i="48"/>
  <c r="D451" i="48"/>
  <c r="D450" i="48"/>
  <c r="D449" i="48"/>
  <c r="D448" i="48"/>
  <c r="D447" i="48"/>
  <c r="D446" i="48"/>
  <c r="D445" i="48"/>
  <c r="D444" i="48"/>
  <c r="D443" i="48"/>
  <c r="D442" i="48"/>
  <c r="D441" i="48"/>
  <c r="D440" i="48"/>
  <c r="D439" i="48"/>
  <c r="D438" i="48"/>
  <c r="D437" i="48"/>
  <c r="D436" i="48"/>
  <c r="D435" i="48"/>
  <c r="D434" i="48"/>
  <c r="D433" i="48"/>
  <c r="D432" i="48"/>
  <c r="D431" i="48"/>
  <c r="D430" i="48"/>
  <c r="D429" i="48"/>
  <c r="D428" i="48"/>
  <c r="D427" i="48"/>
  <c r="D426" i="48"/>
  <c r="D425" i="48"/>
  <c r="D424" i="48"/>
  <c r="D423" i="48"/>
  <c r="D422" i="48"/>
  <c r="D421" i="48"/>
  <c r="D420" i="48"/>
  <c r="D419" i="48"/>
  <c r="D418" i="48"/>
  <c r="D417" i="48"/>
  <c r="D416" i="48"/>
  <c r="D415" i="48"/>
  <c r="D414" i="48"/>
  <c r="D413" i="48"/>
  <c r="D412" i="48"/>
  <c r="D411" i="48"/>
  <c r="D410" i="48"/>
  <c r="D409" i="48"/>
  <c r="D408" i="48"/>
  <c r="D407" i="48"/>
  <c r="D406" i="48"/>
  <c r="D405" i="48"/>
  <c r="D404" i="48"/>
  <c r="D403" i="48"/>
  <c r="D402" i="48"/>
  <c r="D401" i="48"/>
  <c r="D400" i="48"/>
  <c r="D399" i="48"/>
  <c r="D398" i="48"/>
  <c r="D397" i="48"/>
  <c r="D396" i="48"/>
  <c r="D395" i="48"/>
  <c r="D394" i="48"/>
  <c r="D393" i="48"/>
  <c r="D392" i="48"/>
  <c r="D391" i="48"/>
  <c r="D390" i="48"/>
  <c r="D389" i="48"/>
  <c r="D388" i="48"/>
  <c r="D387" i="48"/>
  <c r="D386" i="48"/>
  <c r="D385" i="48"/>
  <c r="D384" i="48"/>
  <c r="D383" i="48"/>
  <c r="D382" i="48"/>
  <c r="D381" i="48"/>
  <c r="D380" i="48"/>
  <c r="D379" i="48"/>
  <c r="D378" i="48"/>
  <c r="D377" i="48"/>
  <c r="D376" i="48"/>
  <c r="D375" i="48"/>
  <c r="D374" i="48"/>
  <c r="D373" i="48"/>
  <c r="D372" i="48"/>
  <c r="D371" i="48"/>
  <c r="D370" i="48"/>
  <c r="D369" i="48"/>
  <c r="D368" i="48"/>
  <c r="D367" i="48"/>
  <c r="D366" i="48"/>
  <c r="D365" i="48"/>
  <c r="D364" i="48"/>
  <c r="D363" i="48"/>
  <c r="D362" i="48"/>
  <c r="D361" i="48"/>
  <c r="D360" i="48"/>
  <c r="D359" i="48"/>
  <c r="D358" i="48"/>
  <c r="D357" i="48"/>
  <c r="D356" i="48"/>
  <c r="D355" i="48"/>
  <c r="D354" i="48"/>
  <c r="D353" i="48"/>
  <c r="D352" i="48"/>
  <c r="D351" i="48"/>
  <c r="D350" i="48"/>
  <c r="D349" i="48"/>
  <c r="D348" i="48"/>
  <c r="D347" i="48"/>
  <c r="D346" i="48"/>
  <c r="D345" i="48"/>
  <c r="D344" i="48"/>
  <c r="D343" i="48"/>
  <c r="D342" i="48"/>
  <c r="D341" i="48"/>
  <c r="D340" i="48"/>
  <c r="D339" i="48"/>
  <c r="D338" i="48"/>
  <c r="D337" i="48"/>
  <c r="D336" i="48"/>
  <c r="D335" i="48"/>
  <c r="D334" i="48"/>
  <c r="D333" i="48"/>
  <c r="D332" i="48"/>
  <c r="D331" i="48"/>
  <c r="D330" i="48"/>
  <c r="D329" i="48"/>
  <c r="D328" i="48"/>
  <c r="D327" i="48"/>
  <c r="D326" i="48"/>
  <c r="D325" i="48"/>
  <c r="D324" i="48"/>
  <c r="D323" i="48"/>
  <c r="D322" i="48"/>
  <c r="D321" i="48"/>
  <c r="D320" i="48"/>
  <c r="D319" i="48"/>
  <c r="D318" i="48"/>
  <c r="D317" i="48"/>
  <c r="D316" i="48"/>
  <c r="D315" i="48"/>
  <c r="D314" i="48"/>
  <c r="D313" i="48"/>
  <c r="D312" i="48"/>
  <c r="D311" i="48"/>
  <c r="D310" i="48"/>
  <c r="D309" i="48"/>
  <c r="D308" i="48"/>
  <c r="D307" i="48"/>
  <c r="D306" i="48"/>
  <c r="D305" i="48"/>
  <c r="D304" i="48"/>
  <c r="D303" i="48"/>
  <c r="D302" i="48"/>
  <c r="D301" i="48"/>
  <c r="D300" i="48"/>
  <c r="D299" i="48"/>
  <c r="D298" i="48"/>
  <c r="D297" i="48"/>
  <c r="D296" i="48"/>
  <c r="D295" i="48"/>
  <c r="D294" i="48"/>
  <c r="D293" i="48"/>
  <c r="D292" i="48"/>
  <c r="D291" i="48"/>
  <c r="D290" i="48"/>
  <c r="D289" i="48"/>
  <c r="D288" i="48"/>
  <c r="D287" i="48"/>
  <c r="D286" i="48"/>
  <c r="D285" i="48"/>
  <c r="D284" i="48"/>
  <c r="D283" i="48"/>
  <c r="D282" i="48"/>
  <c r="D281" i="48"/>
  <c r="D280" i="48"/>
  <c r="D279" i="48"/>
  <c r="D278" i="48"/>
  <c r="D277" i="48"/>
  <c r="D276" i="48"/>
  <c r="D275" i="48"/>
  <c r="D274" i="48"/>
  <c r="D273" i="48"/>
  <c r="D272" i="48"/>
  <c r="D271" i="48"/>
  <c r="D270" i="48"/>
  <c r="D269" i="48"/>
  <c r="D268" i="48"/>
  <c r="D267" i="48"/>
  <c r="D266" i="48"/>
  <c r="D265" i="48"/>
  <c r="D264" i="48"/>
  <c r="D263" i="48"/>
  <c r="D262" i="48"/>
  <c r="D261" i="48"/>
  <c r="D260" i="48"/>
  <c r="D259" i="48"/>
  <c r="D258" i="48"/>
  <c r="D257" i="48"/>
  <c r="D256" i="48"/>
  <c r="D255" i="48"/>
  <c r="D254" i="48"/>
  <c r="D253" i="48"/>
  <c r="D252" i="48"/>
  <c r="D251" i="48"/>
  <c r="D250" i="48"/>
  <c r="D249" i="48"/>
  <c r="D248" i="48"/>
  <c r="D247" i="48"/>
  <c r="D246" i="48"/>
  <c r="D245" i="48"/>
  <c r="D244" i="48"/>
  <c r="D243" i="48"/>
  <c r="D242" i="48"/>
  <c r="D241" i="48"/>
  <c r="D240" i="48"/>
  <c r="D239" i="48"/>
  <c r="D238" i="48"/>
  <c r="D237" i="48"/>
  <c r="D236" i="48"/>
  <c r="D235" i="48"/>
  <c r="D234" i="48"/>
  <c r="D233" i="48"/>
  <c r="D232" i="48"/>
  <c r="D231" i="48"/>
  <c r="D230" i="48"/>
  <c r="D229" i="48"/>
  <c r="D228" i="48"/>
  <c r="D227" i="48"/>
  <c r="D226" i="48"/>
  <c r="D225" i="48"/>
  <c r="D224" i="48"/>
  <c r="D223" i="48"/>
  <c r="D222" i="48"/>
  <c r="D221" i="48"/>
  <c r="D220" i="48"/>
  <c r="D219" i="48"/>
  <c r="D218" i="48"/>
  <c r="D217" i="48"/>
  <c r="D216" i="48"/>
  <c r="D215" i="48"/>
  <c r="D214" i="48"/>
  <c r="D213" i="48"/>
  <c r="D212" i="48"/>
  <c r="D211" i="48"/>
  <c r="D210" i="48"/>
  <c r="D209" i="48"/>
  <c r="D208" i="48"/>
  <c r="D207" i="48"/>
  <c r="D206" i="48"/>
  <c r="D205" i="48"/>
  <c r="D204" i="48"/>
  <c r="D203" i="48"/>
  <c r="D202" i="48"/>
  <c r="D201" i="48"/>
  <c r="D200" i="48"/>
  <c r="D199" i="48"/>
  <c r="D198" i="48"/>
  <c r="D197" i="48"/>
  <c r="D196" i="48"/>
  <c r="D195" i="48"/>
  <c r="D194" i="48"/>
  <c r="D193" i="48"/>
  <c r="D192" i="48"/>
  <c r="D191" i="48"/>
  <c r="D190" i="48"/>
  <c r="D189" i="48"/>
  <c r="D188" i="48"/>
  <c r="D187" i="48"/>
  <c r="D186" i="48"/>
  <c r="D185" i="48"/>
  <c r="D184" i="48"/>
  <c r="D183" i="48"/>
  <c r="D182" i="48"/>
  <c r="D181" i="48"/>
  <c r="D180" i="48"/>
  <c r="D179" i="48"/>
  <c r="D178" i="48"/>
  <c r="D177" i="48"/>
  <c r="D176" i="48"/>
  <c r="D175" i="48"/>
  <c r="D174" i="48"/>
  <c r="D173" i="48"/>
  <c r="D172" i="48"/>
  <c r="D171" i="48"/>
  <c r="D170" i="48"/>
  <c r="D169" i="48"/>
  <c r="D168" i="48"/>
  <c r="D167" i="48"/>
  <c r="D166" i="48"/>
  <c r="D165" i="48"/>
  <c r="D164" i="48"/>
  <c r="D163" i="48"/>
  <c r="D162" i="48"/>
  <c r="D161" i="48"/>
  <c r="D160" i="48"/>
  <c r="D159" i="48"/>
  <c r="D158" i="48"/>
  <c r="D157" i="48"/>
  <c r="D156" i="48"/>
  <c r="D155" i="48"/>
  <c r="D154" i="48"/>
  <c r="D153" i="48"/>
  <c r="D152" i="48"/>
  <c r="D151" i="48"/>
  <c r="D150" i="48"/>
  <c r="D149" i="48"/>
  <c r="D148" i="48"/>
  <c r="D147" i="48"/>
  <c r="D146" i="48"/>
  <c r="D145" i="48"/>
  <c r="D144" i="48"/>
  <c r="D143" i="48"/>
  <c r="D142" i="48"/>
  <c r="D141" i="48"/>
  <c r="D140" i="48"/>
  <c r="D139" i="48"/>
  <c r="D138" i="48"/>
  <c r="D137" i="48"/>
  <c r="D136" i="48"/>
  <c r="D135" i="48"/>
  <c r="D134" i="48"/>
  <c r="D133" i="48"/>
  <c r="D132" i="48"/>
  <c r="D131" i="48"/>
  <c r="D130" i="48"/>
  <c r="D129" i="48"/>
  <c r="D128" i="48"/>
  <c r="D127" i="48"/>
  <c r="D126" i="48"/>
  <c r="D125" i="48"/>
  <c r="D124" i="48"/>
  <c r="D123" i="48"/>
  <c r="D122" i="48"/>
  <c r="D121" i="48"/>
  <c r="D120" i="48"/>
  <c r="D119" i="48"/>
  <c r="D118" i="48"/>
  <c r="D117" i="48"/>
  <c r="D116" i="48"/>
  <c r="D115" i="48"/>
  <c r="D114" i="48"/>
  <c r="D113" i="48"/>
  <c r="D112" i="48"/>
  <c r="D111" i="48"/>
  <c r="D110" i="48"/>
  <c r="D109" i="48"/>
  <c r="D108" i="48"/>
  <c r="D107" i="48"/>
  <c r="D106" i="48"/>
  <c r="D105" i="48"/>
  <c r="D104" i="48"/>
  <c r="D103" i="48"/>
  <c r="D102" i="48"/>
  <c r="D101" i="48"/>
  <c r="D100" i="48"/>
  <c r="D99" i="48"/>
  <c r="D98" i="48"/>
  <c r="D97" i="48"/>
  <c r="D96" i="48"/>
  <c r="D95" i="48"/>
  <c r="D94" i="48"/>
  <c r="D93" i="48"/>
  <c r="D92" i="48"/>
  <c r="D91" i="48"/>
  <c r="D90" i="48"/>
  <c r="D89" i="48"/>
  <c r="D88" i="48"/>
  <c r="D87" i="48"/>
  <c r="D86" i="48"/>
  <c r="D85" i="48"/>
  <c r="D84" i="48"/>
  <c r="D83" i="48"/>
  <c r="D82" i="48"/>
  <c r="D81" i="48"/>
  <c r="D80" i="48"/>
  <c r="D79" i="48"/>
  <c r="D78" i="48"/>
  <c r="D77" i="48"/>
  <c r="D76" i="48"/>
  <c r="D75" i="48"/>
  <c r="D74" i="48"/>
  <c r="D73" i="48"/>
  <c r="D72" i="48"/>
  <c r="D71" i="48"/>
  <c r="D70" i="48"/>
  <c r="D69" i="48"/>
  <c r="D68" i="48"/>
  <c r="D67" i="48"/>
  <c r="D66" i="48"/>
  <c r="D65" i="48"/>
  <c r="D64" i="48"/>
  <c r="D63" i="48"/>
  <c r="D62" i="48"/>
  <c r="D61" i="48"/>
  <c r="D60" i="48"/>
  <c r="D59" i="48"/>
  <c r="D58" i="48"/>
  <c r="D57" i="48"/>
  <c r="D56" i="48"/>
  <c r="D55" i="48"/>
  <c r="D54" i="48"/>
  <c r="D53" i="48"/>
  <c r="D52" i="48"/>
  <c r="D51" i="48"/>
  <c r="D50" i="48"/>
  <c r="D49" i="48"/>
  <c r="D48" i="48"/>
  <c r="D47" i="48"/>
  <c r="D46" i="48"/>
  <c r="D45" i="48"/>
  <c r="D44" i="48"/>
  <c r="D43" i="48"/>
  <c r="D42" i="48"/>
  <c r="D41" i="48"/>
  <c r="D40" i="48"/>
  <c r="D39" i="48"/>
  <c r="D38" i="48"/>
  <c r="D37" i="48"/>
  <c r="D36" i="48" l="1"/>
  <c r="D35" i="48"/>
  <c r="D34" i="48"/>
  <c r="D33" i="48"/>
  <c r="D32" i="48"/>
  <c r="D31" i="48"/>
  <c r="D30" i="48"/>
  <c r="D29" i="48"/>
  <c r="D28" i="48"/>
  <c r="D27" i="48"/>
  <c r="D26" i="48"/>
  <c r="D25" i="48"/>
  <c r="D24" i="48"/>
  <c r="D23" i="48"/>
  <c r="D22" i="48"/>
  <c r="D21" i="48"/>
  <c r="D20" i="48"/>
  <c r="D19" i="48"/>
  <c r="D18" i="48"/>
  <c r="D17" i="48"/>
  <c r="D16" i="48"/>
  <c r="D15" i="48"/>
  <c r="D14" i="48"/>
  <c r="D13" i="48"/>
  <c r="D12" i="48"/>
  <c r="D11" i="48"/>
  <c r="D10" i="48"/>
  <c r="P36" i="48"/>
  <c r="N36" i="48"/>
  <c r="D9" i="48"/>
  <c r="I95" i="21"/>
  <c r="I94" i="21"/>
  <c r="I93" i="21"/>
  <c r="I92" i="21"/>
  <c r="I91" i="21"/>
  <c r="I90" i="21"/>
  <c r="I89" i="21"/>
  <c r="I88" i="21"/>
  <c r="I87" i="21"/>
  <c r="I86" i="21"/>
  <c r="I85" i="21"/>
  <c r="I84" i="21"/>
  <c r="I83" i="21"/>
  <c r="I82" i="21"/>
  <c r="I81" i="21"/>
  <c r="I80" i="21"/>
  <c r="I79" i="21"/>
  <c r="I78" i="21"/>
  <c r="I77" i="21"/>
  <c r="I76" i="21"/>
  <c r="I75" i="21"/>
  <c r="I74" i="21"/>
  <c r="I73" i="21"/>
  <c r="I72" i="21"/>
  <c r="I71" i="21"/>
  <c r="I70" i="21"/>
  <c r="I69" i="21"/>
  <c r="I68" i="21"/>
  <c r="I67" i="21"/>
  <c r="I66" i="21"/>
  <c r="I65" i="21"/>
  <c r="I64" i="21"/>
  <c r="I63" i="21"/>
  <c r="I62" i="21"/>
  <c r="I61" i="21"/>
  <c r="I60" i="21"/>
  <c r="I59" i="21"/>
  <c r="I58" i="21"/>
  <c r="I57" i="21"/>
  <c r="I56" i="21"/>
  <c r="I55" i="21"/>
  <c r="I54" i="21"/>
  <c r="I53" i="21"/>
  <c r="I52" i="21"/>
  <c r="I51" i="21"/>
  <c r="I50" i="21"/>
  <c r="I49" i="21"/>
  <c r="I48" i="21"/>
  <c r="I47" i="21"/>
  <c r="I46" i="21"/>
  <c r="I45" i="21"/>
  <c r="I44" i="21"/>
  <c r="I43" i="21"/>
  <c r="I42" i="21"/>
  <c r="I41" i="21"/>
  <c r="I40" i="21"/>
  <c r="I39" i="21"/>
  <c r="I38" i="21"/>
  <c r="I37" i="21"/>
  <c r="I36" i="21"/>
  <c r="I35" i="21"/>
  <c r="I34" i="21"/>
  <c r="I33" i="21"/>
  <c r="I32" i="21"/>
  <c r="I31" i="21"/>
  <c r="I30" i="21"/>
  <c r="I29" i="21"/>
  <c r="I28" i="21"/>
  <c r="I27" i="21"/>
  <c r="I26" i="21"/>
  <c r="I25" i="21"/>
  <c r="I24" i="21"/>
  <c r="I23" i="21"/>
  <c r="I22" i="21"/>
  <c r="I21" i="21"/>
  <c r="I20" i="21"/>
  <c r="I19" i="21"/>
  <c r="I18" i="21"/>
  <c r="I17" i="21"/>
  <c r="I16" i="21"/>
  <c r="I15" i="21"/>
  <c r="I14" i="21"/>
  <c r="I13" i="21"/>
  <c r="I12" i="21"/>
  <c r="I11" i="21"/>
  <c r="I10" i="21"/>
  <c r="I9" i="21"/>
  <c r="I8" i="21"/>
  <c r="I7" i="21"/>
  <c r="I6" i="21"/>
  <c r="I5" i="21"/>
  <c r="I4" i="21"/>
  <c r="I3" i="21"/>
  <c r="I2" i="21"/>
  <c r="D2" i="48" l="1"/>
  <c r="E2" i="48"/>
  <c r="C2" i="48"/>
  <c r="C4" i="48"/>
  <c r="D4" i="48"/>
  <c r="E4" i="48"/>
  <c r="E3" i="48"/>
  <c r="C3" i="48"/>
  <c r="D3" i="48"/>
  <c r="O36" i="48"/>
  <c r="M9" i="32" l="1"/>
  <c r="N9" i="32" s="1"/>
  <c r="M25" i="32"/>
  <c r="N25" i="32" s="1"/>
  <c r="M8" i="32"/>
  <c r="N8" i="32" s="1"/>
  <c r="M16" i="32"/>
  <c r="N16" i="32" s="1"/>
  <c r="M24" i="32"/>
  <c r="N24" i="32"/>
  <c r="M5" i="32"/>
  <c r="N5" i="32"/>
  <c r="M13" i="32"/>
  <c r="N13" i="32"/>
  <c r="M21" i="32"/>
  <c r="N21" i="32" s="1"/>
  <c r="M29" i="32"/>
  <c r="N29" i="32"/>
  <c r="M17" i="32"/>
  <c r="N17" i="32" s="1"/>
  <c r="M4" i="32"/>
  <c r="N4" i="32" s="1"/>
  <c r="M12" i="32"/>
  <c r="N12" i="32" s="1"/>
  <c r="M20" i="32"/>
  <c r="N20" i="32"/>
  <c r="M28" i="32"/>
  <c r="N28" i="3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953697-DE5C-48D7-BE27-92598419EDD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FAE5973-CC3A-46A5-8D32-8D15B49B368B}" name="WorksheetConnection_Pivot Table!$A$1:$N$31" type="102" refreshedVersion="8" minRefreshableVersion="5">
    <extLst>
      <ext xmlns:x15="http://schemas.microsoft.com/office/spreadsheetml/2010/11/main" uri="{DE250136-89BD-433C-8126-D09CA5730AF9}">
        <x15:connection id="Range" autoDelete="1">
          <x15:rangePr sourceName="_xlcn.WorksheetConnection_PivotTableA1N311"/>
        </x15:connection>
      </ext>
    </extLst>
  </connection>
</connections>
</file>

<file path=xl/sharedStrings.xml><?xml version="1.0" encoding="utf-8"?>
<sst xmlns="http://schemas.openxmlformats.org/spreadsheetml/2006/main" count="7434" uniqueCount="860">
  <si>
    <t>No of Male</t>
  </si>
  <si>
    <t>No of Female</t>
  </si>
  <si>
    <t>M</t>
  </si>
  <si>
    <t>Sunil</t>
  </si>
  <si>
    <t>F</t>
  </si>
  <si>
    <t>Shilpa</t>
  </si>
  <si>
    <t>Binil</t>
  </si>
  <si>
    <t>Deepa</t>
  </si>
  <si>
    <t>GENDER</t>
  </si>
  <si>
    <t>STUDENT NAME</t>
  </si>
  <si>
    <t>COUNTIF</t>
  </si>
  <si>
    <t>COUNT</t>
  </si>
  <si>
    <t>COUNTBLANK</t>
  </si>
  <si>
    <t>COUNTA</t>
  </si>
  <si>
    <t>MAX</t>
  </si>
  <si>
    <t>GF</t>
  </si>
  <si>
    <t>MARKS</t>
  </si>
  <si>
    <t>MIN</t>
  </si>
  <si>
    <t>Average</t>
  </si>
  <si>
    <t>SUM</t>
  </si>
  <si>
    <t>P5</t>
  </si>
  <si>
    <t>P4</t>
  </si>
  <si>
    <t>P3</t>
  </si>
  <si>
    <t>P2</t>
  </si>
  <si>
    <t>P1</t>
  </si>
  <si>
    <t>TOTAL</t>
  </si>
  <si>
    <t>COST</t>
  </si>
  <si>
    <t>QTY</t>
  </si>
  <si>
    <t>PRODUCTS</t>
  </si>
  <si>
    <t>AVERAGE</t>
  </si>
  <si>
    <t>PRODUCT</t>
  </si>
  <si>
    <t>Ken</t>
  </si>
  <si>
    <t>Karen</t>
  </si>
  <si>
    <t>Jasmin</t>
  </si>
  <si>
    <t>Bonus</t>
  </si>
  <si>
    <t>Target</t>
  </si>
  <si>
    <t>Sales</t>
  </si>
  <si>
    <t>Name</t>
  </si>
  <si>
    <t>Income Tax is deducted as per the following rules</t>
  </si>
  <si>
    <t>Net Income</t>
  </si>
  <si>
    <t>PF(Basic*12%)</t>
  </si>
  <si>
    <t>Income Tax</t>
  </si>
  <si>
    <t>Taxable Income(Basic+DA+HRA+Conv)</t>
  </si>
  <si>
    <t>Conveyance(10%*Basic)</t>
  </si>
  <si>
    <t>HRA(35%*Basic)</t>
  </si>
  <si>
    <t>DA(50%*Basic)</t>
  </si>
  <si>
    <t>Basic Salary</t>
  </si>
  <si>
    <t>COUNT OF POOR</t>
  </si>
  <si>
    <t>COUNT OF GOOD</t>
  </si>
  <si>
    <t>COUNT OF EXCELLENT</t>
  </si>
  <si>
    <t xml:space="preserve">AVERAGE SALE VALUE </t>
  </si>
  <si>
    <t>LOWEST SALE VALUE</t>
  </si>
  <si>
    <t xml:space="preserve">HIGHEST SALE VALUE </t>
  </si>
  <si>
    <t>TOTAL SALES</t>
  </si>
  <si>
    <t>EXCELLENT</t>
  </si>
  <si>
    <t>Above 5000</t>
  </si>
  <si>
    <t>GOOD</t>
  </si>
  <si>
    <t>1000 to 5000</t>
  </si>
  <si>
    <t>POOR</t>
  </si>
  <si>
    <t>Less than 1000</t>
  </si>
  <si>
    <t xml:space="preserve">Grade </t>
  </si>
  <si>
    <t xml:space="preserve">Sales </t>
  </si>
  <si>
    <t>5% of sales</t>
  </si>
  <si>
    <t>2% of sales</t>
  </si>
  <si>
    <t>No commission</t>
  </si>
  <si>
    <t>Commission</t>
  </si>
  <si>
    <t>GRADE</t>
  </si>
  <si>
    <t>COMMISSION</t>
  </si>
  <si>
    <t xml:space="preserve">SALES </t>
  </si>
  <si>
    <t>PRICE</t>
  </si>
  <si>
    <t xml:space="preserve">UNITS </t>
  </si>
  <si>
    <t>ITEM CODE</t>
  </si>
  <si>
    <t>Arun</t>
  </si>
  <si>
    <t>Prashanth</t>
  </si>
  <si>
    <t>Praveen</t>
  </si>
  <si>
    <t>Ajay</t>
  </si>
  <si>
    <t>Naveen</t>
  </si>
  <si>
    <t>Vineeth</t>
  </si>
  <si>
    <t>Suresh</t>
  </si>
  <si>
    <t>Amith</t>
  </si>
  <si>
    <t>Rakesh</t>
  </si>
  <si>
    <t>Suman</t>
  </si>
  <si>
    <t>Reg No</t>
  </si>
  <si>
    <t>Roopa</t>
  </si>
  <si>
    <t>Lakshmi</t>
  </si>
  <si>
    <t>Sheeja</t>
  </si>
  <si>
    <t>Ravi</t>
  </si>
  <si>
    <t>Anand</t>
  </si>
  <si>
    <t>Sriram</t>
  </si>
  <si>
    <t>Shanoj</t>
  </si>
  <si>
    <t>Veena</t>
  </si>
  <si>
    <t>Adithya</t>
  </si>
  <si>
    <t>Ram</t>
  </si>
  <si>
    <t>Computer</t>
  </si>
  <si>
    <t>Maths</t>
  </si>
  <si>
    <t>Science</t>
  </si>
  <si>
    <t>Hindi</t>
  </si>
  <si>
    <t>English</t>
  </si>
  <si>
    <t>The Tax Rate is:</t>
  </si>
  <si>
    <t>Enter Income</t>
  </si>
  <si>
    <t xml:space="preserve">Tax Rate
</t>
  </si>
  <si>
    <t xml:space="preserve">But less than or equal to….
</t>
  </si>
  <si>
    <t xml:space="preserve">Income is greater than or equal to…
</t>
  </si>
  <si>
    <t>Tooley</t>
  </si>
  <si>
    <t>Amy</t>
  </si>
  <si>
    <t>AW59</t>
  </si>
  <si>
    <t>RH</t>
  </si>
  <si>
    <t>Binga</t>
  </si>
  <si>
    <t>Erin</t>
  </si>
  <si>
    <t>AA70</t>
  </si>
  <si>
    <t>R</t>
  </si>
  <si>
    <t>Whitney</t>
  </si>
  <si>
    <t>Sam</t>
  </si>
  <si>
    <t>GS09</t>
  </si>
  <si>
    <t>DR</t>
  </si>
  <si>
    <t>Thomas</t>
  </si>
  <si>
    <t>Greg</t>
  </si>
  <si>
    <t>AC53</t>
  </si>
  <si>
    <t>Owens</t>
  </si>
  <si>
    <t>Alice</t>
  </si>
  <si>
    <t>AW48</t>
  </si>
  <si>
    <t>D</t>
  </si>
  <si>
    <t>Brown</t>
  </si>
  <si>
    <t>Geoff</t>
  </si>
  <si>
    <t>GBA48</t>
  </si>
  <si>
    <t>DRH</t>
  </si>
  <si>
    <t>Martin</t>
  </si>
  <si>
    <t>Paul</t>
  </si>
  <si>
    <t>GC02</t>
  </si>
  <si>
    <t>DH</t>
  </si>
  <si>
    <t>Winters</t>
  </si>
  <si>
    <t>Jane</t>
  </si>
  <si>
    <t>GBA23</t>
  </si>
  <si>
    <t>Smith</t>
  </si>
  <si>
    <t>Katie</t>
  </si>
  <si>
    <t>CS32</t>
  </si>
  <si>
    <t>Stewart</t>
  </si>
  <si>
    <t>Helen</t>
  </si>
  <si>
    <t>GA57</t>
  </si>
  <si>
    <t>Hayes</t>
  </si>
  <si>
    <t>Ted</t>
  </si>
  <si>
    <t>GBA33</t>
  </si>
  <si>
    <t>Sullivan</t>
  </si>
  <si>
    <t>Lorrie</t>
  </si>
  <si>
    <t>AW04</t>
  </si>
  <si>
    <t>Gibbs</t>
  </si>
  <si>
    <t>Richard</t>
  </si>
  <si>
    <t>GC24</t>
  </si>
  <si>
    <t>Sloan</t>
  </si>
  <si>
    <t>Grace</t>
  </si>
  <si>
    <t>AS12</t>
  </si>
  <si>
    <t>GW11</t>
  </si>
  <si>
    <t>Calvin</t>
  </si>
  <si>
    <t>Marianne</t>
  </si>
  <si>
    <t>AS23</t>
  </si>
  <si>
    <t>H</t>
  </si>
  <si>
    <t>Miller</t>
  </si>
  <si>
    <t>Theresa</t>
  </si>
  <si>
    <t>CS79</t>
  </si>
  <si>
    <t>Williams</t>
  </si>
  <si>
    <t>Esther</t>
  </si>
  <si>
    <t>AW39</t>
  </si>
  <si>
    <t>Barthoff</t>
  </si>
  <si>
    <t>Tim</t>
  </si>
  <si>
    <t>GW47</t>
  </si>
  <si>
    <t>Taylor</t>
  </si>
  <si>
    <t>Holly</t>
  </si>
  <si>
    <t>GC07</t>
  </si>
  <si>
    <t>Frieda</t>
  </si>
  <si>
    <t>AA02</t>
  </si>
  <si>
    <t>Howard</t>
  </si>
  <si>
    <t>Bradley</t>
  </si>
  <si>
    <t>GBW12</t>
  </si>
  <si>
    <t>Jacobs</t>
  </si>
  <si>
    <t>John</t>
  </si>
  <si>
    <t>GA27</t>
  </si>
  <si>
    <t>Switzer</t>
  </si>
  <si>
    <t>Maria</t>
  </si>
  <si>
    <t>GC26</t>
  </si>
  <si>
    <t>Kim</t>
  </si>
  <si>
    <t>GS54</t>
  </si>
  <si>
    <t>Dandrow</t>
  </si>
  <si>
    <t>Shirley</t>
  </si>
  <si>
    <t>CC45</t>
  </si>
  <si>
    <t>Abel</t>
  </si>
  <si>
    <t>William</t>
  </si>
  <si>
    <t>GBW66</t>
  </si>
  <si>
    <t>Robinson</t>
  </si>
  <si>
    <t>Paula</t>
  </si>
  <si>
    <t>GA23</t>
  </si>
  <si>
    <t>Reed</t>
  </si>
  <si>
    <t>Chris</t>
  </si>
  <si>
    <t>CW03</t>
  </si>
  <si>
    <t>Winger</t>
  </si>
  <si>
    <t>Lindsey</t>
  </si>
  <si>
    <t>AA25</t>
  </si>
  <si>
    <t>Simmons</t>
  </si>
  <si>
    <t>Lynne</t>
  </si>
  <si>
    <t>AC17</t>
  </si>
  <si>
    <t>McDonald</t>
  </si>
  <si>
    <t>Jerry</t>
  </si>
  <si>
    <t>GA08</t>
  </si>
  <si>
    <t>Lewis</t>
  </si>
  <si>
    <t>Michael</t>
  </si>
  <si>
    <t>AW58</t>
  </si>
  <si>
    <t>Lillie</t>
  </si>
  <si>
    <t>Christina</t>
  </si>
  <si>
    <t>GBA24</t>
  </si>
  <si>
    <t>Trelly</t>
  </si>
  <si>
    <t>Edward</t>
  </si>
  <si>
    <t>AC27</t>
  </si>
  <si>
    <t>Karina</t>
  </si>
  <si>
    <t>GW30</t>
  </si>
  <si>
    <t>Masters</t>
  </si>
  <si>
    <t>Todd</t>
  </si>
  <si>
    <t>GBS69</t>
  </si>
  <si>
    <t>Wheeler</t>
  </si>
  <si>
    <t>Bill</t>
  </si>
  <si>
    <t>GBW05</t>
  </si>
  <si>
    <t>Maccaluso</t>
  </si>
  <si>
    <t>Joshua</t>
  </si>
  <si>
    <t>AW69</t>
  </si>
  <si>
    <t>Snyder</t>
  </si>
  <si>
    <t>Jennifer</t>
  </si>
  <si>
    <t>CW30</t>
  </si>
  <si>
    <t>Mazza</t>
  </si>
  <si>
    <t>Dominick</t>
  </si>
  <si>
    <t>GBC09</t>
  </si>
  <si>
    <t>Hillen</t>
  </si>
  <si>
    <t>Brooks</t>
  </si>
  <si>
    <t>GBA21</t>
  </si>
  <si>
    <t>Paterson</t>
  </si>
  <si>
    <t>Henry</t>
  </si>
  <si>
    <t>GC20</t>
  </si>
  <si>
    <t>Tucker</t>
  </si>
  <si>
    <t>Carol</t>
  </si>
  <si>
    <t>GBA14</t>
  </si>
  <si>
    <t>Singer</t>
  </si>
  <si>
    <t>Steve</t>
  </si>
  <si>
    <t>AS29</t>
  </si>
  <si>
    <t>Feldsott</t>
  </si>
  <si>
    <t>George</t>
  </si>
  <si>
    <t>GW37</t>
  </si>
  <si>
    <t>Briscoll</t>
  </si>
  <si>
    <t>Doug</t>
  </si>
  <si>
    <t>CA40</t>
  </si>
  <si>
    <t>Davidson</t>
  </si>
  <si>
    <t>Anne</t>
  </si>
  <si>
    <t>CC23</t>
  </si>
  <si>
    <t>Davies</t>
  </si>
  <si>
    <t>Lance</t>
  </si>
  <si>
    <t>GBC64</t>
  </si>
  <si>
    <t>Earnhart</t>
  </si>
  <si>
    <t>Kyle</t>
  </si>
  <si>
    <t>GBS16</t>
  </si>
  <si>
    <t>Bowers</t>
  </si>
  <si>
    <t>Melanie</t>
  </si>
  <si>
    <t>AA35</t>
  </si>
  <si>
    <t>Richardson</t>
  </si>
  <si>
    <t>GBA28</t>
  </si>
  <si>
    <t>Simpson</t>
  </si>
  <si>
    <t>GS07</t>
  </si>
  <si>
    <t>Mayron</t>
  </si>
  <si>
    <t>Kathy</t>
  </si>
  <si>
    <t>GBA29</t>
  </si>
  <si>
    <t>Connors</t>
  </si>
  <si>
    <t>GBC49</t>
  </si>
  <si>
    <t>Steadman</t>
  </si>
  <si>
    <t>Molly</t>
  </si>
  <si>
    <t>GBC65</t>
  </si>
  <si>
    <t>Mallory</t>
  </si>
  <si>
    <t>Fred</t>
  </si>
  <si>
    <t>CA06</t>
  </si>
  <si>
    <t>Altman</t>
  </si>
  <si>
    <t>Mary</t>
  </si>
  <si>
    <t>GC12</t>
  </si>
  <si>
    <t>Allen</t>
  </si>
  <si>
    <t>Peter</t>
  </si>
  <si>
    <t>AW24</t>
  </si>
  <si>
    <t>Barber</t>
  </si>
  <si>
    <t>GW32</t>
  </si>
  <si>
    <t>Brian</t>
  </si>
  <si>
    <t>GS40</t>
  </si>
  <si>
    <t>Reagan</t>
  </si>
  <si>
    <t>Laura</t>
  </si>
  <si>
    <t>GBW77</t>
  </si>
  <si>
    <t>James</t>
  </si>
  <si>
    <t>GBC29</t>
  </si>
  <si>
    <t>Drake</t>
  </si>
  <si>
    <t>Susan</t>
  </si>
  <si>
    <t>GBA34</t>
  </si>
  <si>
    <t>Parker</t>
  </si>
  <si>
    <t>Joanne</t>
  </si>
  <si>
    <t>AW09</t>
  </si>
  <si>
    <t>Reese</t>
  </si>
  <si>
    <t>Donald</t>
  </si>
  <si>
    <t>CS15</t>
  </si>
  <si>
    <t>Cuffaro</t>
  </si>
  <si>
    <t>Robert</t>
  </si>
  <si>
    <t>GBC08</t>
  </si>
  <si>
    <t>Hinkelman</t>
  </si>
  <si>
    <t>Brad</t>
  </si>
  <si>
    <t>GW15</t>
  </si>
  <si>
    <t>Ness</t>
  </si>
  <si>
    <t>Theodore</t>
  </si>
  <si>
    <t>CA80</t>
  </si>
  <si>
    <t>Sung</t>
  </si>
  <si>
    <t>GA49</t>
  </si>
  <si>
    <t>MacFall</t>
  </si>
  <si>
    <t>Jeri Lynn</t>
  </si>
  <si>
    <t>AW07</t>
  </si>
  <si>
    <t>Strong</t>
  </si>
  <si>
    <t>Jeffrey</t>
  </si>
  <si>
    <t>GW04</t>
  </si>
  <si>
    <t>Banks</t>
  </si>
  <si>
    <t>Jacqueline</t>
  </si>
  <si>
    <t>AS03</t>
  </si>
  <si>
    <t>Julia</t>
  </si>
  <si>
    <t>GBA19</t>
  </si>
  <si>
    <t>Hill</t>
  </si>
  <si>
    <t>GW18</t>
  </si>
  <si>
    <t>Kramer</t>
  </si>
  <si>
    <t>Dean</t>
  </si>
  <si>
    <t>AC49</t>
  </si>
  <si>
    <t>Hoffman</t>
  </si>
  <si>
    <t>GBS57</t>
  </si>
  <si>
    <t>Gorski</t>
  </si>
  <si>
    <t>CA18</t>
  </si>
  <si>
    <t>Rich</t>
  </si>
  <si>
    <t>GBC11</t>
  </si>
  <si>
    <t>Murray</t>
  </si>
  <si>
    <t>GBW47</t>
  </si>
  <si>
    <t>Hume</t>
  </si>
  <si>
    <t>GBS59</t>
  </si>
  <si>
    <t>Ambrose</t>
  </si>
  <si>
    <t>Bob</t>
  </si>
  <si>
    <t>GW14</t>
  </si>
  <si>
    <t>Rose</t>
  </si>
  <si>
    <t>Seth</t>
  </si>
  <si>
    <t>CC76</t>
  </si>
  <si>
    <t>Chen</t>
  </si>
  <si>
    <t>Shing</t>
  </si>
  <si>
    <t>GBC05</t>
  </si>
  <si>
    <t>Swayne</t>
  </si>
  <si>
    <t>Harry</t>
  </si>
  <si>
    <t>GC25</t>
  </si>
  <si>
    <t>Halal</t>
  </si>
  <si>
    <t>Cheryl</t>
  </si>
  <si>
    <t>CA26</t>
  </si>
  <si>
    <t>Bally</t>
  </si>
  <si>
    <t>Barry</t>
  </si>
  <si>
    <t>GC04</t>
  </si>
  <si>
    <t>Califano</t>
  </si>
  <si>
    <t>CW19</t>
  </si>
  <si>
    <t>DeVinney</t>
  </si>
  <si>
    <t>Kristen</t>
  </si>
  <si>
    <t>GBS45</t>
  </si>
  <si>
    <t>Culbert</t>
  </si>
  <si>
    <t>Frank</t>
  </si>
  <si>
    <t>GBC07</t>
  </si>
  <si>
    <t>Teri</t>
  </si>
  <si>
    <t>AW55</t>
  </si>
  <si>
    <t>Colleen</t>
  </si>
  <si>
    <t>CW58</t>
  </si>
  <si>
    <t>Willis</t>
  </si>
  <si>
    <t>Sean</t>
  </si>
  <si>
    <t>GBW09</t>
  </si>
  <si>
    <t>Kling</t>
  </si>
  <si>
    <t>Sara</t>
  </si>
  <si>
    <t>GW29</t>
  </si>
  <si>
    <t>GROSS PAY</t>
  </si>
  <si>
    <t>HOURLY RATE</t>
  </si>
  <si>
    <t>HRS</t>
  </si>
  <si>
    <t>DEPT</t>
  </si>
  <si>
    <t>DATE of HIRE</t>
  </si>
  <si>
    <t>LAST</t>
  </si>
  <si>
    <t>FIRST</t>
  </si>
  <si>
    <t>EMP ID</t>
  </si>
  <si>
    <t>NUM</t>
  </si>
  <si>
    <t>Monthly Payment</t>
  </si>
  <si>
    <t>Term in Months:</t>
  </si>
  <si>
    <t>Interest Rate:</t>
  </si>
  <si>
    <t>Principal Amount:</t>
  </si>
  <si>
    <t>Total</t>
  </si>
  <si>
    <t>364H780</t>
  </si>
  <si>
    <t>764S890</t>
  </si>
  <si>
    <t>394T870</t>
  </si>
  <si>
    <t>609D942</t>
  </si>
  <si>
    <t>409S799</t>
  </si>
  <si>
    <t>265T775</t>
  </si>
  <si>
    <t>342G756</t>
  </si>
  <si>
    <t>813T930</t>
  </si>
  <si>
    <t>344D695</t>
  </si>
  <si>
    <t>Jun</t>
  </si>
  <si>
    <t>May</t>
  </si>
  <si>
    <t>Apr</t>
  </si>
  <si>
    <t>Mar</t>
  </si>
  <si>
    <t>Feb</t>
  </si>
  <si>
    <t>Jan</t>
  </si>
  <si>
    <t>Unit Price</t>
  </si>
  <si>
    <t>Units Sold</t>
  </si>
  <si>
    <t>Product</t>
  </si>
  <si>
    <t>Amount</t>
  </si>
  <si>
    <t>Price</t>
  </si>
  <si>
    <t>Qty</t>
  </si>
  <si>
    <t>Item Code</t>
  </si>
  <si>
    <t>Student Name</t>
  </si>
  <si>
    <t>Loan Amount</t>
  </si>
  <si>
    <t>Term (months)</t>
  </si>
  <si>
    <t>Interest rate</t>
  </si>
  <si>
    <t>Interest Rate</t>
  </si>
  <si>
    <t>South</t>
  </si>
  <si>
    <t>North</t>
  </si>
  <si>
    <t>Jul</t>
  </si>
  <si>
    <t>Aug</t>
  </si>
  <si>
    <t>Region</t>
  </si>
  <si>
    <t>Agent</t>
  </si>
  <si>
    <t>Revenue</t>
  </si>
  <si>
    <t>Month</t>
  </si>
  <si>
    <t>Year</t>
  </si>
  <si>
    <t>RTC</t>
  </si>
  <si>
    <t>Jaipur</t>
  </si>
  <si>
    <t>Rajesthan</t>
  </si>
  <si>
    <t>West</t>
  </si>
  <si>
    <t>Pepsodent</t>
  </si>
  <si>
    <t>PC021</t>
  </si>
  <si>
    <t>MATC</t>
  </si>
  <si>
    <t>Bishnupur</t>
  </si>
  <si>
    <t>Manipur</t>
  </si>
  <si>
    <t>East</t>
  </si>
  <si>
    <t>Print Paper</t>
  </si>
  <si>
    <t>PC043</t>
  </si>
  <si>
    <t>KETC</t>
  </si>
  <si>
    <t>Kollam</t>
  </si>
  <si>
    <t>Kerala</t>
  </si>
  <si>
    <t>Cello Pen</t>
  </si>
  <si>
    <t>PC003</t>
  </si>
  <si>
    <t>HPTC</t>
  </si>
  <si>
    <t>Manali</t>
  </si>
  <si>
    <t>HP</t>
  </si>
  <si>
    <t>Lux</t>
  </si>
  <si>
    <t>PC001</t>
  </si>
  <si>
    <t>Dettol</t>
  </si>
  <si>
    <t>PC019</t>
  </si>
  <si>
    <t>ARTC</t>
  </si>
  <si>
    <t>Itanagar</t>
  </si>
  <si>
    <t>Arunachal Pradesh</t>
  </si>
  <si>
    <t>APTC</t>
  </si>
  <si>
    <t>Warangal</t>
  </si>
  <si>
    <t>AP</t>
  </si>
  <si>
    <t>PTC</t>
  </si>
  <si>
    <t>Kapurthala</t>
  </si>
  <si>
    <t>Punjab</t>
  </si>
  <si>
    <t>MHTC</t>
  </si>
  <si>
    <t>Nasik</t>
  </si>
  <si>
    <t>Maharastra</t>
  </si>
  <si>
    <t>TRTC</t>
  </si>
  <si>
    <t>Agarthala</t>
  </si>
  <si>
    <t>Tripura</t>
  </si>
  <si>
    <t>TNTC</t>
  </si>
  <si>
    <t>Trichy</t>
  </si>
  <si>
    <t>TN</t>
  </si>
  <si>
    <t>DTC</t>
  </si>
  <si>
    <t>Delhi</t>
  </si>
  <si>
    <t>Mumbai</t>
  </si>
  <si>
    <t>TTC</t>
  </si>
  <si>
    <t>Hyderabad</t>
  </si>
  <si>
    <t>UTC</t>
  </si>
  <si>
    <t>Nanital</t>
  </si>
  <si>
    <t>Uttaranchal</t>
  </si>
  <si>
    <t>GTC</t>
  </si>
  <si>
    <t>Ahmedabad</t>
  </si>
  <si>
    <t>Gujarat</t>
  </si>
  <si>
    <t>NTC</t>
  </si>
  <si>
    <t>Kohima</t>
  </si>
  <si>
    <t>Nagaland</t>
  </si>
  <si>
    <t>Chennai</t>
  </si>
  <si>
    <t>Amrithsar</t>
  </si>
  <si>
    <t>Ajmer</t>
  </si>
  <si>
    <t>Imphal</t>
  </si>
  <si>
    <t>Kochi</t>
  </si>
  <si>
    <t>Simla</t>
  </si>
  <si>
    <t>Bikaner</t>
  </si>
  <si>
    <t>MTC</t>
  </si>
  <si>
    <t>Shillong</t>
  </si>
  <si>
    <t>Meghalaya</t>
  </si>
  <si>
    <t>KATC</t>
  </si>
  <si>
    <t>Bangalore</t>
  </si>
  <si>
    <t>Karnataka</t>
  </si>
  <si>
    <t>JKTC</t>
  </si>
  <si>
    <t>Jammu</t>
  </si>
  <si>
    <t>J&amp;K</t>
  </si>
  <si>
    <t>Vadodara</t>
  </si>
  <si>
    <t>ABC</t>
  </si>
  <si>
    <t>Dispur</t>
  </si>
  <si>
    <t>Assam</t>
  </si>
  <si>
    <t>Profit</t>
  </si>
  <si>
    <t>Sales Value</t>
  </si>
  <si>
    <t>Territory</t>
  </si>
  <si>
    <t>Area</t>
  </si>
  <si>
    <t>Basic Price</t>
  </si>
  <si>
    <t>Price/Unit</t>
  </si>
  <si>
    <t>Product Name</t>
  </si>
  <si>
    <t>Product Code</t>
  </si>
  <si>
    <t>New Jersey</t>
  </si>
  <si>
    <t>New York</t>
  </si>
  <si>
    <t>Oregon</t>
  </si>
  <si>
    <t>Washington</t>
  </si>
  <si>
    <t>California</t>
  </si>
  <si>
    <t>State</t>
  </si>
  <si>
    <t>Contacts</t>
  </si>
  <si>
    <t>Grades</t>
  </si>
  <si>
    <t>C</t>
  </si>
  <si>
    <t>B</t>
  </si>
  <si>
    <t>A</t>
  </si>
  <si>
    <t>A+</t>
  </si>
  <si>
    <t>B447</t>
  </si>
  <si>
    <t>Y972</t>
  </si>
  <si>
    <t>Q122</t>
  </si>
  <si>
    <t>Date</t>
  </si>
  <si>
    <t>Customer</t>
  </si>
  <si>
    <t>Quantity</t>
  </si>
  <si>
    <t>COGS</t>
  </si>
  <si>
    <t>Safe Aerobic Inc.</t>
  </si>
  <si>
    <t>Innovative Paint Company</t>
  </si>
  <si>
    <t>Alluring Raft Corporation</t>
  </si>
  <si>
    <t>Paramount Necktie Inc.</t>
  </si>
  <si>
    <t>Powerful Utensil Traders</t>
  </si>
  <si>
    <t>Central</t>
  </si>
  <si>
    <t>Flexible Ink Corporation</t>
  </si>
  <si>
    <t>Best Scooter Corporation</t>
  </si>
  <si>
    <t>Superior Meter Company</t>
  </si>
  <si>
    <t>Remarkable Doghouse Supply</t>
  </si>
  <si>
    <t>Persuasive Shoe Inc.</t>
  </si>
  <si>
    <t>Vivid Yardstick Company</t>
  </si>
  <si>
    <t>First-Rate Radio Supply</t>
  </si>
  <si>
    <t>Tremendous Meter Partners</t>
  </si>
  <si>
    <t>Enhanced Barometer Corporation</t>
  </si>
  <si>
    <t>Honest Banister Company</t>
  </si>
  <si>
    <t>User-Friendly Luggage Company</t>
  </si>
  <si>
    <t>Hip Electronics Company</t>
  </si>
  <si>
    <t>Special Gadget Inc.</t>
  </si>
  <si>
    <t>Mouthwatering Furnace Supply</t>
  </si>
  <si>
    <t>Compelling Bottle Inc.</t>
  </si>
  <si>
    <t>Fully Vegetable Corporation</t>
  </si>
  <si>
    <t>Different Eggbeater Corporation</t>
  </si>
  <si>
    <t>Inventive Glass Company</t>
  </si>
  <si>
    <t>Paramount Vise Corporation</t>
  </si>
  <si>
    <t>Flexible Thermostat Company</t>
  </si>
  <si>
    <t>Guaranteed Freezer Company</t>
  </si>
  <si>
    <t>Enhanced Adhesive Company</t>
  </si>
  <si>
    <t xml:space="preserve"> </t>
  </si>
  <si>
    <t>Project Start Date</t>
  </si>
  <si>
    <t>No of Days</t>
  </si>
  <si>
    <t>Holidays</t>
  </si>
  <si>
    <t>Republic Day</t>
  </si>
  <si>
    <t>Mahashivratri</t>
  </si>
  <si>
    <t>Ugadi</t>
  </si>
  <si>
    <t>Good Friday</t>
  </si>
  <si>
    <t>May Day</t>
  </si>
  <si>
    <t>Independence Day</t>
  </si>
  <si>
    <t>Onam</t>
  </si>
  <si>
    <t>Ganesh Chaturthi</t>
  </si>
  <si>
    <t>Gandhi Jayanthi</t>
  </si>
  <si>
    <t>Mahalya Amavasya</t>
  </si>
  <si>
    <t>Ayudha Pooja</t>
  </si>
  <si>
    <t>Dasara</t>
  </si>
  <si>
    <t>Karnataka Rajyotsava</t>
  </si>
  <si>
    <t>Diwali</t>
  </si>
  <si>
    <t>Christmas</t>
  </si>
  <si>
    <t>Finish Date</t>
  </si>
  <si>
    <t>Project End Date</t>
  </si>
  <si>
    <t>No. of Working Days</t>
  </si>
  <si>
    <t>Day</t>
  </si>
  <si>
    <t>_x0007_Sara</t>
  </si>
  <si>
    <t>_x0008_Sean</t>
  </si>
  <si>
    <t>_x0006_Colleen</t>
  </si>
  <si>
    <t>_x0005_Teri</t>
  </si>
  <si>
    <t>_x0004_Frank</t>
  </si>
  <si>
    <t>_x0003_Kristen</t>
  </si>
  <si>
    <t>_x0007_Theresa</t>
  </si>
  <si>
    <t>_x0008_Barry</t>
  </si>
  <si>
    <t>_x0006_Cheryl</t>
  </si>
  <si>
    <t>_x0005_Harry</t>
  </si>
  <si>
    <t>_x0004_Shing</t>
  </si>
  <si>
    <t>_x0003_Seth</t>
  </si>
  <si>
    <t>_x0007_Bob</t>
  </si>
  <si>
    <t>_x0008_Chris</t>
  </si>
  <si>
    <t>_x0006_Robert</t>
  </si>
  <si>
    <t>_x0005_James</t>
  </si>
  <si>
    <t>_x0004_George</t>
  </si>
  <si>
    <t>_x0003_Paul</t>
  </si>
  <si>
    <t>_x0007_Dean</t>
  </si>
  <si>
    <t>_x0008_Carol</t>
  </si>
  <si>
    <t>_x0006_Julia</t>
  </si>
  <si>
    <t>_x0005_Jacqueline</t>
  </si>
  <si>
    <t>_x0004_Jeffrey</t>
  </si>
  <si>
    <t>_x0003_Jeri Lynn</t>
  </si>
  <si>
    <t>_x0007_Sung</t>
  </si>
  <si>
    <t>_x0008_Theodore</t>
  </si>
  <si>
    <t>_x0006_Brad</t>
  </si>
  <si>
    <t>_x0005_Robert</t>
  </si>
  <si>
    <t>_x0004_Donald</t>
  </si>
  <si>
    <t>_x0003_Joanne</t>
  </si>
  <si>
    <t>_x0007_Susan</t>
  </si>
  <si>
    <t>_x0008_James</t>
  </si>
  <si>
    <t>_x0006_Laura</t>
  </si>
  <si>
    <t>_x0005_Brian</t>
  </si>
  <si>
    <t>_x0004_Mary</t>
  </si>
  <si>
    <t>_x0003_Peter</t>
  </si>
  <si>
    <t>_x0007_Mary</t>
  </si>
  <si>
    <t>_x0008_Fred</t>
  </si>
  <si>
    <t>_x0006_Molly</t>
  </si>
  <si>
    <t>_x0005_Greg</t>
  </si>
  <si>
    <t>_x0004_Kathy</t>
  </si>
  <si>
    <t>_x0003_Bill</t>
  </si>
  <si>
    <t>_x0007_Michael</t>
  </si>
  <si>
    <t>_x0008_Melanie</t>
  </si>
  <si>
    <t>_x0006_Kyle</t>
  </si>
  <si>
    <t>_x0005_Lance</t>
  </si>
  <si>
    <t>_x0004_Anne</t>
  </si>
  <si>
    <t>_x0003_Doug</t>
  </si>
  <si>
    <t>_x0007_George</t>
  </si>
  <si>
    <t>_x0008_Steve</t>
  </si>
  <si>
    <t>_x0006_Carol</t>
  </si>
  <si>
    <t>_x0005_Henry</t>
  </si>
  <si>
    <t>_x0004_Brooks</t>
  </si>
  <si>
    <t>_x0003_Dominick</t>
  </si>
  <si>
    <t>_x0007_Jennifer</t>
  </si>
  <si>
    <t>_x0008_Joshua</t>
  </si>
  <si>
    <t>_x0006_Bill</t>
  </si>
  <si>
    <t>_x0005_Todd</t>
  </si>
  <si>
    <t>_x0004_Karina</t>
  </si>
  <si>
    <t>_x0003_Edward</t>
  </si>
  <si>
    <t>_x0007_Christina</t>
  </si>
  <si>
    <t>_x0008_Michael</t>
  </si>
  <si>
    <t>_x0006_Jerry</t>
  </si>
  <si>
    <t>_x0005_Lynne</t>
  </si>
  <si>
    <t>_x0004_Lindsey</t>
  </si>
  <si>
    <t>_x0003_Chris</t>
  </si>
  <si>
    <t>_x0007_Paula</t>
  </si>
  <si>
    <t>_x0008_William</t>
  </si>
  <si>
    <t>_x0006_Shirley</t>
  </si>
  <si>
    <t>_x0005_Kim</t>
  </si>
  <si>
    <t>_x0004_Maria</t>
  </si>
  <si>
    <t>_x0003_John</t>
  </si>
  <si>
    <t>_x0007_Bradley</t>
  </si>
  <si>
    <t>_x0008_Frieda</t>
  </si>
  <si>
    <t>_x0006_Holly</t>
  </si>
  <si>
    <t>_x0005_Tim</t>
  </si>
  <si>
    <t>_x0004_Esther</t>
  </si>
  <si>
    <t>_x0003_Theresa</t>
  </si>
  <si>
    <t>_x0007_Marianne</t>
  </si>
  <si>
    <t>_x0008_</t>
  </si>
  <si>
    <t>_x0006_Grace</t>
  </si>
  <si>
    <t>_x0005_Richard</t>
  </si>
  <si>
    <t>_x0004_Lorrie</t>
  </si>
  <si>
    <t>_x0003_Ted</t>
  </si>
  <si>
    <t>_x0007_Helen</t>
  </si>
  <si>
    <t>_x0008_Katie</t>
  </si>
  <si>
    <t>_x0006_Jane</t>
  </si>
  <si>
    <t>_x0005_Paul</t>
  </si>
  <si>
    <t>_x0004_Geoff</t>
  </si>
  <si>
    <t>_x0003_Alice</t>
  </si>
  <si>
    <t>_x0007_Greg</t>
  </si>
  <si>
    <t>_x0008_Sam</t>
  </si>
  <si>
    <t>_x0006_Erin</t>
  </si>
  <si>
    <t>_x0005_Amy</t>
  </si>
  <si>
    <t>Dean Kramer</t>
  </si>
  <si>
    <t>Carol Hill</t>
  </si>
  <si>
    <t>Julia Smith</t>
  </si>
  <si>
    <t>Jacqueline Banks</t>
  </si>
  <si>
    <t>Jeffrey Strong</t>
  </si>
  <si>
    <t>Jeri Lynn MacFall</t>
  </si>
  <si>
    <t>Sung Kim</t>
  </si>
  <si>
    <t>Theodore Ness</t>
  </si>
  <si>
    <t>DATE of BIRTH</t>
  </si>
  <si>
    <t>Age as of Today</t>
  </si>
  <si>
    <t>Age as on 31st March 2013</t>
  </si>
  <si>
    <t>Names</t>
  </si>
  <si>
    <t>Grade</t>
  </si>
  <si>
    <t>Value</t>
  </si>
  <si>
    <t>ExcelR</t>
  </si>
  <si>
    <t>ISBLANK</t>
  </si>
  <si>
    <t>ISERROR</t>
  </si>
  <si>
    <t>ISNA</t>
  </si>
  <si>
    <t>ISNUMBER</t>
  </si>
  <si>
    <t>ISEVEN</t>
  </si>
  <si>
    <t>ISODD</t>
  </si>
  <si>
    <t>ISTEXT</t>
  </si>
  <si>
    <t>Month Number</t>
  </si>
  <si>
    <t>Sept</t>
  </si>
  <si>
    <t>HR</t>
  </si>
  <si>
    <t>Marketing</t>
  </si>
  <si>
    <t>Finance</t>
  </si>
  <si>
    <t>Healthcare</t>
  </si>
  <si>
    <t>IT</t>
  </si>
  <si>
    <t>Minali</t>
  </si>
  <si>
    <t>Rahul</t>
  </si>
  <si>
    <t>Kavita</t>
  </si>
  <si>
    <t>Sumit</t>
  </si>
  <si>
    <t>Nilesh</t>
  </si>
  <si>
    <t>Pritesh</t>
  </si>
  <si>
    <t>Rohit</t>
  </si>
  <si>
    <t>Vipul</t>
  </si>
  <si>
    <t>Gopal</t>
  </si>
  <si>
    <t>Gautam</t>
  </si>
  <si>
    <t>Prashant</t>
  </si>
  <si>
    <t>Bhagyashree</t>
  </si>
  <si>
    <t>Gulam</t>
  </si>
  <si>
    <t>Devendra</t>
  </si>
  <si>
    <t>Amit</t>
  </si>
  <si>
    <t>Abhishek</t>
  </si>
  <si>
    <t>Bindu</t>
  </si>
  <si>
    <t>Department</t>
  </si>
  <si>
    <t>History</t>
  </si>
  <si>
    <t>Gita</t>
  </si>
  <si>
    <t>Seema</t>
  </si>
  <si>
    <t>Deepak</t>
  </si>
  <si>
    <t>Prabhas</t>
  </si>
  <si>
    <t>Anushree</t>
  </si>
  <si>
    <t>Geetika</t>
  </si>
  <si>
    <t>Geography</t>
  </si>
  <si>
    <t>&lt;35</t>
  </si>
  <si>
    <t>Red</t>
  </si>
  <si>
    <t>35-50</t>
  </si>
  <si>
    <t>Yellow</t>
  </si>
  <si>
    <t>51-75</t>
  </si>
  <si>
    <t>Orange</t>
  </si>
  <si>
    <t>&gt;75</t>
  </si>
  <si>
    <t>Green</t>
  </si>
  <si>
    <t>Conditions</t>
  </si>
  <si>
    <t>Products</t>
  </si>
  <si>
    <t>Spirit</t>
  </si>
  <si>
    <t>Utensils</t>
  </si>
  <si>
    <t>TV</t>
  </si>
  <si>
    <t>Loss</t>
  </si>
  <si>
    <t>Profit / Loss</t>
  </si>
  <si>
    <t>Order Date</t>
  </si>
  <si>
    <r>
      <t>v</t>
    </r>
    <r>
      <rPr>
        <sz val="7"/>
        <rFont val="Arial"/>
        <family val="2"/>
      </rPr>
      <t xml:space="preserve">    </t>
    </r>
    <r>
      <rPr>
        <sz val="14"/>
        <rFont val="Arial"/>
        <family val="2"/>
      </rPr>
      <t>No Tax is deductible if the taxable income is less than 3000 per month.</t>
    </r>
  </si>
  <si>
    <r>
      <t>v</t>
    </r>
    <r>
      <rPr>
        <sz val="7"/>
        <rFont val="Arial"/>
        <family val="2"/>
      </rPr>
      <t xml:space="preserve">    </t>
    </r>
    <r>
      <rPr>
        <sz val="14"/>
        <rFont val="Arial"/>
        <family val="2"/>
      </rPr>
      <t>10% tax if the taxable income is between 3000 and 6000 per month.</t>
    </r>
  </si>
  <si>
    <r>
      <t>v</t>
    </r>
    <r>
      <rPr>
        <sz val="7"/>
        <rFont val="Arial"/>
        <family val="2"/>
      </rPr>
      <t xml:space="preserve">    </t>
    </r>
    <r>
      <rPr>
        <sz val="14"/>
        <rFont val="Arial"/>
        <family val="2"/>
      </rPr>
      <t>20% tax if the taxable income is between 6001 and 9000 per month.</t>
    </r>
  </si>
  <si>
    <r>
      <t>v</t>
    </r>
    <r>
      <rPr>
        <sz val="7"/>
        <rFont val="Arial"/>
        <family val="2"/>
      </rPr>
      <t xml:space="preserve">    </t>
    </r>
    <r>
      <rPr>
        <sz val="14"/>
        <rFont val="Arial"/>
        <family val="2"/>
      </rPr>
      <t>30%tax if the taxable income is more than 9000 per month.</t>
    </r>
  </si>
  <si>
    <t>Products Name</t>
  </si>
  <si>
    <t>Country</t>
  </si>
  <si>
    <t>Product ID</t>
  </si>
  <si>
    <t>Samsung Galaxy</t>
  </si>
  <si>
    <t>Brand</t>
  </si>
  <si>
    <t>Apple iPhone</t>
  </si>
  <si>
    <t>Dell Lattitude</t>
  </si>
  <si>
    <t>HP Pavillion</t>
  </si>
  <si>
    <t>Lloyd AC</t>
  </si>
  <si>
    <t>250K</t>
  </si>
  <si>
    <t>400K</t>
  </si>
  <si>
    <t>350K</t>
  </si>
  <si>
    <t>150K</t>
  </si>
  <si>
    <t>180K</t>
  </si>
  <si>
    <t>Samsung</t>
  </si>
  <si>
    <t>Apple</t>
  </si>
  <si>
    <t>Dell</t>
  </si>
  <si>
    <t>Lloyd</t>
  </si>
  <si>
    <t>India</t>
  </si>
  <si>
    <t>USA</t>
  </si>
  <si>
    <t>Korea</t>
  </si>
  <si>
    <t>Japan</t>
  </si>
  <si>
    <t>Students</t>
  </si>
  <si>
    <t>Rank</t>
  </si>
  <si>
    <t>Employee</t>
  </si>
  <si>
    <t>Sr. No.</t>
  </si>
  <si>
    <t>E</t>
  </si>
  <si>
    <t>Cleaned First Name</t>
  </si>
  <si>
    <t>Today's Date</t>
  </si>
  <si>
    <t>Current Date &amp; Time</t>
  </si>
  <si>
    <t>Hour</t>
  </si>
  <si>
    <t>Minute</t>
  </si>
  <si>
    <t>Second</t>
  </si>
  <si>
    <t>Achieved / Not Achieved</t>
  </si>
  <si>
    <t>Dipali</t>
  </si>
  <si>
    <t>Patil</t>
  </si>
  <si>
    <t>Years</t>
  </si>
  <si>
    <t>months</t>
  </si>
  <si>
    <t>days</t>
  </si>
  <si>
    <t>A1 &lt;- Relative (Normal)</t>
  </si>
  <si>
    <t>$A$1 &lt;- Absolute</t>
  </si>
  <si>
    <t>A$1/$A1 &lt;- Mixed</t>
  </si>
  <si>
    <t>ctrl+shift+arrow(left,right,down,up)  for selection of all the data</t>
  </si>
  <si>
    <t xml:space="preserve"> IFERROR(VLOOKUP($A2,Tab_1,MATCH(B$1,Tab_1[#Headers],0),0), IFERROR(VLOOKUP($A2,Tab_2,MATCH(B$1,Tab_2[#Headers],0),0), IFERROR(VLOOKUP($A2,Tab_3,MATCH(B$1,Tab_3[#Headers],0),0),"Not Available")))</t>
  </si>
  <si>
    <t>used to see wheather the cell is blank or not</t>
  </si>
  <si>
    <t>used to give output T/F if its 0 error, N/A error</t>
  </si>
  <si>
    <t>if is contain #N/A it give True</t>
  </si>
  <si>
    <t>used to check wheather a no is present or not</t>
  </si>
  <si>
    <t>used to check even or not</t>
  </si>
  <si>
    <t>used to check odd or not</t>
  </si>
  <si>
    <t>used to check text contains x or not</t>
  </si>
  <si>
    <t>0-1</t>
  </si>
  <si>
    <t>01to 10</t>
  </si>
  <si>
    <r>
      <rPr>
        <b/>
        <sz val="12"/>
        <color theme="1"/>
        <rFont val="Arial"/>
        <family val="2"/>
      </rPr>
      <t>Interview Question:</t>
    </r>
    <r>
      <rPr>
        <sz val="12"/>
        <color theme="1"/>
        <rFont val="Arial"/>
        <family val="2"/>
      </rPr>
      <t xml:space="preserve"> it return appropriate value  so we enter,1/True.</t>
    </r>
  </si>
  <si>
    <t>K  L  R A hul</t>
  </si>
  <si>
    <t xml:space="preserve">        virat kohli</t>
  </si>
  <si>
    <t>Surya kumar yadav</t>
  </si>
  <si>
    <t>M s D  H O N I</t>
  </si>
  <si>
    <t>TRIM</t>
  </si>
  <si>
    <t>Rohit            shARMA</t>
  </si>
  <si>
    <t>Proper</t>
  </si>
  <si>
    <t>Lower</t>
  </si>
  <si>
    <t>Upper</t>
  </si>
  <si>
    <t>convert lower</t>
  </si>
  <si>
    <t>convert upper</t>
  </si>
  <si>
    <t>title-capitalize 1st letter</t>
  </si>
  <si>
    <t>Remove shite spaces</t>
  </si>
  <si>
    <t>Left</t>
  </si>
  <si>
    <t>MID</t>
  </si>
  <si>
    <t>RIGHT</t>
  </si>
  <si>
    <t>FIND</t>
  </si>
  <si>
    <t>LEN</t>
  </si>
  <si>
    <t>AB</t>
  </si>
  <si>
    <t>Develiers</t>
  </si>
  <si>
    <t>Concatenate</t>
  </si>
  <si>
    <t>USA is the powerful country.</t>
  </si>
  <si>
    <t>Substitute</t>
  </si>
  <si>
    <t>LEFT</t>
  </si>
  <si>
    <t>Used to replace</t>
  </si>
  <si>
    <t>Dip</t>
  </si>
  <si>
    <t>TEXT Function</t>
  </si>
  <si>
    <t>Exact fun</t>
  </si>
  <si>
    <t>Full Name</t>
  </si>
  <si>
    <t>select all+retrun formula+ctrl+enter</t>
  </si>
  <si>
    <t>using product fun</t>
  </si>
  <si>
    <t>SUMIF</t>
  </si>
  <si>
    <t>AVERAGEIF</t>
  </si>
  <si>
    <t>MINIFS</t>
  </si>
  <si>
    <t>MAXIFS</t>
  </si>
  <si>
    <t xml:space="preserve">Revenue for </t>
  </si>
  <si>
    <t>Sara@#$%^</t>
  </si>
  <si>
    <t>Shubham Kabre</t>
  </si>
  <si>
    <t>Dipali Patil</t>
  </si>
  <si>
    <t>Virat Kohali</t>
  </si>
  <si>
    <t>Vinay Patil</t>
  </si>
  <si>
    <t>Shubham</t>
  </si>
  <si>
    <t>Kabre</t>
  </si>
  <si>
    <t>Virat</t>
  </si>
  <si>
    <t>Kohali</t>
  </si>
  <si>
    <t>Vinay</t>
  </si>
  <si>
    <t>In america name written format</t>
  </si>
  <si>
    <t>Kabre, Shubham</t>
  </si>
  <si>
    <t>Patil, Dipali</t>
  </si>
  <si>
    <t>Kohali, Virat</t>
  </si>
  <si>
    <t>Patil, Vinay</t>
  </si>
  <si>
    <t>Last</t>
  </si>
  <si>
    <t>First</t>
  </si>
  <si>
    <t>India written name format</t>
  </si>
  <si>
    <t>Grand Total</t>
  </si>
  <si>
    <t>Sum of Sales Value</t>
  </si>
  <si>
    <t xml:space="preserve">Sales Value </t>
  </si>
  <si>
    <t xml:space="preserve">Profit </t>
  </si>
  <si>
    <t>Row Labels</t>
  </si>
  <si>
    <t>Countif</t>
  </si>
  <si>
    <t>Total Revenue</t>
  </si>
  <si>
    <t>% Share</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</si>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</sst>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quot;₹&quot;#,##0.00_);[Red]\(&quot;₹&quot;#,##0.00\)"/>
    <numFmt numFmtId="165" formatCode="&quot;$&quot;#,##0.00_);\(&quot;$&quot;#,##0.00\)"/>
    <numFmt numFmtId="166" formatCode="_(* #,##0.00_);_(* \(#,##0.00\);_(* &quot;-&quot;??_);_(@_)"/>
    <numFmt numFmtId="167" formatCode="&quot;$&quot;#,##0.00"/>
    <numFmt numFmtId="168" formatCode="0.000%"/>
    <numFmt numFmtId="169" formatCode="&quot;£&quot;#,##0.00;[Red]\-&quot;£&quot;#,##0.00"/>
    <numFmt numFmtId="170" formatCode="&quot;£&quot;#,##0.00"/>
    <numFmt numFmtId="171" formatCode="[$-409]d\-mmm\-yy;@"/>
    <numFmt numFmtId="172" formatCode="&quot;$&quot;#,##0"/>
    <numFmt numFmtId="173" formatCode="#,##0,&quot;K&quot;"/>
  </numFmts>
  <fonts count="32">
    <font>
      <sz val="12"/>
      <color theme="1"/>
      <name val="Arial"/>
      <family val="2"/>
    </font>
    <font>
      <sz val="12"/>
      <color theme="1"/>
      <name val="Times New Roman"/>
      <family val="2"/>
    </font>
    <font>
      <sz val="10"/>
      <name val="Arial"/>
      <family val="2"/>
    </font>
    <font>
      <b/>
      <i/>
      <sz val="16"/>
      <name val="Arial"/>
      <family val="2"/>
    </font>
    <font>
      <sz val="14"/>
      <name val="Arial"/>
      <family val="2"/>
    </font>
    <font>
      <b/>
      <sz val="10"/>
      <name val="Arial"/>
      <family val="2"/>
    </font>
    <font>
      <b/>
      <i/>
      <sz val="10"/>
      <name val="Arial"/>
      <family val="2"/>
    </font>
    <font>
      <sz val="10"/>
      <color indexed="12"/>
      <name val="Arial"/>
      <family val="2"/>
    </font>
    <font>
      <sz val="12"/>
      <name val="Arial"/>
      <family val="2"/>
    </font>
    <font>
      <b/>
      <sz val="12"/>
      <name val="Arial"/>
      <family val="2"/>
    </font>
    <font>
      <sz val="11"/>
      <name val="Arial"/>
      <family val="2"/>
    </font>
    <font>
      <sz val="26"/>
      <name val="Arial"/>
      <family val="2"/>
    </font>
    <font>
      <sz val="11"/>
      <color theme="1"/>
      <name val="Calibri"/>
      <family val="2"/>
      <scheme val="minor"/>
    </font>
    <font>
      <b/>
      <sz val="14"/>
      <name val="Arial"/>
      <family val="2"/>
    </font>
    <font>
      <b/>
      <sz val="11"/>
      <color theme="0"/>
      <name val="Arial"/>
      <family val="2"/>
    </font>
    <font>
      <b/>
      <sz val="11"/>
      <color theme="1"/>
      <name val="Arial"/>
      <family val="2"/>
    </font>
    <font>
      <sz val="12"/>
      <color theme="1"/>
      <name val="Arial"/>
      <family val="2"/>
    </font>
    <font>
      <b/>
      <sz val="11"/>
      <name val="Arial"/>
      <family val="2"/>
    </font>
    <font>
      <sz val="11"/>
      <color theme="1"/>
      <name val="Arial"/>
      <family val="2"/>
    </font>
    <font>
      <b/>
      <sz val="12"/>
      <color theme="1"/>
      <name val="Arial"/>
      <family val="2"/>
    </font>
    <font>
      <sz val="14"/>
      <color theme="1"/>
      <name val="Arial"/>
      <family val="2"/>
    </font>
    <font>
      <b/>
      <sz val="12"/>
      <color theme="0"/>
      <name val="Arial"/>
      <family val="2"/>
    </font>
    <font>
      <b/>
      <sz val="10"/>
      <color theme="0"/>
      <name val="Arial"/>
      <family val="2"/>
    </font>
    <font>
      <sz val="10"/>
      <color theme="1"/>
      <name val="Arial"/>
      <family val="2"/>
    </font>
    <font>
      <b/>
      <i/>
      <sz val="16"/>
      <color theme="1"/>
      <name val="Arial"/>
      <family val="2"/>
    </font>
    <font>
      <sz val="12"/>
      <color theme="0"/>
      <name val="Arial"/>
      <family val="2"/>
    </font>
    <font>
      <sz val="7"/>
      <name val="Arial"/>
      <family val="2"/>
    </font>
    <font>
      <b/>
      <sz val="10"/>
      <color theme="1"/>
      <name val="Arial"/>
      <family val="2"/>
    </font>
    <font>
      <b/>
      <i/>
      <sz val="12"/>
      <name val="Arial"/>
      <family val="2"/>
    </font>
    <font>
      <u/>
      <sz val="12"/>
      <color theme="10"/>
      <name val="Arial"/>
      <family val="2"/>
    </font>
    <font>
      <sz val="14"/>
      <color rgb="FF000000"/>
      <name val="Arial"/>
      <family val="2"/>
    </font>
    <font>
      <b/>
      <sz val="10"/>
      <color theme="1"/>
      <name val="Scam"/>
    </font>
  </fonts>
  <fills count="27">
    <fill>
      <patternFill patternType="none"/>
    </fill>
    <fill>
      <patternFill patternType="gray125"/>
    </fill>
    <fill>
      <patternFill patternType="solid">
        <fgColor indexed="42"/>
        <bgColor indexed="64"/>
      </patternFill>
    </fill>
    <fill>
      <patternFill patternType="solid">
        <fgColor indexed="22"/>
      </patternFill>
    </fill>
    <fill>
      <patternFill patternType="solid">
        <fgColor indexed="26"/>
      </patternFill>
    </fill>
    <fill>
      <patternFill patternType="solid">
        <fgColor indexed="43"/>
        <bgColor indexed="64"/>
      </patternFill>
    </fill>
    <fill>
      <patternFill patternType="solid">
        <fgColor theme="8"/>
        <bgColor theme="8"/>
      </patternFill>
    </fill>
    <fill>
      <patternFill patternType="solid">
        <fgColor theme="5"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1"/>
        <bgColor indexed="64"/>
      </patternFill>
    </fill>
    <fill>
      <patternFill patternType="solid">
        <fgColor theme="9" tint="0.39997558519241921"/>
        <bgColor indexed="64"/>
      </patternFill>
    </fill>
    <fill>
      <patternFill patternType="solid">
        <fgColor theme="4"/>
        <bgColor indexed="64"/>
      </patternFill>
    </fill>
    <fill>
      <patternFill patternType="solid">
        <fgColor theme="0"/>
        <bgColor indexed="64"/>
      </patternFill>
    </fill>
    <fill>
      <patternFill patternType="solid">
        <fgColor theme="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7030A0"/>
        <bgColor indexed="64"/>
      </patternFill>
    </fill>
    <fill>
      <patternFill patternType="solid">
        <fgColor theme="8" tint="0.39994506668294322"/>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theme="8"/>
      </left>
      <right/>
      <top style="thin">
        <color theme="8"/>
      </top>
      <bottom/>
      <diagonal/>
    </border>
    <border>
      <left/>
      <right style="thin">
        <color theme="8"/>
      </right>
      <top style="thin">
        <color theme="8"/>
      </top>
      <bottom/>
      <diagonal/>
    </border>
    <border>
      <left/>
      <right style="thin">
        <color theme="8"/>
      </right>
      <top/>
      <bottom/>
      <diagonal/>
    </border>
    <border>
      <left/>
      <right style="thin">
        <color theme="8"/>
      </right>
      <top/>
      <bottom style="thin">
        <color rgb="FF00B0F0"/>
      </bottom>
      <diagonal/>
    </border>
    <border>
      <left style="thin">
        <color theme="8"/>
      </left>
      <right style="thin">
        <color theme="8"/>
      </right>
      <top/>
      <bottom style="thin">
        <color rgb="FF00B0F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theme="1"/>
      </bottom>
      <diagonal/>
    </border>
    <border>
      <left/>
      <right style="thin">
        <color indexed="64"/>
      </right>
      <top style="thin">
        <color indexed="64"/>
      </top>
      <bottom style="thin">
        <color theme="1"/>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n">
        <color indexed="64"/>
      </left>
      <right/>
      <top/>
      <bottom/>
      <diagonal/>
    </border>
    <border>
      <left style="medium">
        <color indexed="64"/>
      </left>
      <right/>
      <top/>
      <bottom/>
      <diagonal/>
    </border>
    <border>
      <left style="thin">
        <color indexed="64"/>
      </left>
      <right style="thin">
        <color indexed="64"/>
      </right>
      <top style="thin">
        <color indexed="64"/>
      </top>
      <bottom/>
      <diagonal/>
    </border>
  </borders>
  <cellStyleXfs count="12">
    <xf numFmtId="0" fontId="0" fillId="0" borderId="0"/>
    <xf numFmtId="0" fontId="1" fillId="0" borderId="0"/>
    <xf numFmtId="167" fontId="1" fillId="0" borderId="0" applyFont="0" applyFill="0" applyBorder="0" applyAlignment="0" applyProtection="0"/>
    <xf numFmtId="0" fontId="2" fillId="0" borderId="0"/>
    <xf numFmtId="0" fontId="2" fillId="0" borderId="0"/>
    <xf numFmtId="166" fontId="2" fillId="0" borderId="0" applyFont="0" applyFill="0" applyBorder="0" applyAlignment="0" applyProtection="0"/>
    <xf numFmtId="165" fontId="2" fillId="0" borderId="0" applyFont="0" applyFill="0" applyBorder="0" applyAlignment="0" applyProtection="0"/>
    <xf numFmtId="0" fontId="2" fillId="3" borderId="0" applyNumberFormat="0" applyFont="0" applyBorder="0" applyAlignment="0" applyProtection="0"/>
    <xf numFmtId="0" fontId="2" fillId="4" borderId="0" applyNumberFormat="0" applyFont="0" applyBorder="0" applyAlignment="0" applyProtection="0"/>
    <xf numFmtId="165" fontId="2" fillId="0" borderId="0" applyFont="0" applyFill="0" applyBorder="0" applyAlignment="0" applyProtection="0"/>
    <xf numFmtId="0" fontId="12" fillId="0" borderId="0"/>
    <xf numFmtId="0" fontId="29" fillId="0" borderId="0" applyNumberFormat="0" applyFill="0" applyBorder="0" applyAlignment="0" applyProtection="0"/>
  </cellStyleXfs>
  <cellXfs count="320">
    <xf numFmtId="0" fontId="0" fillId="0" borderId="0" xfId="0"/>
    <xf numFmtId="0" fontId="2" fillId="0" borderId="0" xfId="1" applyFont="1"/>
    <xf numFmtId="0" fontId="2" fillId="0" borderId="1" xfId="1" applyFont="1" applyBorder="1"/>
    <xf numFmtId="0" fontId="7" fillId="0" borderId="0" xfId="1" applyFont="1"/>
    <xf numFmtId="0" fontId="8" fillId="0" borderId="0" xfId="1" applyFont="1"/>
    <xf numFmtId="0" fontId="9" fillId="0" borderId="0" xfId="1" applyFont="1"/>
    <xf numFmtId="0" fontId="8" fillId="0" borderId="0" xfId="1" applyFont="1" applyAlignment="1">
      <alignment wrapText="1"/>
    </xf>
    <xf numFmtId="0" fontId="9" fillId="0" borderId="0" xfId="1" applyFont="1" applyAlignment="1">
      <alignment wrapText="1"/>
    </xf>
    <xf numFmtId="0" fontId="10" fillId="0" borderId="0" xfId="1" applyFont="1"/>
    <xf numFmtId="0" fontId="10" fillId="0" borderId="0" xfId="1" applyFont="1" applyAlignment="1"/>
    <xf numFmtId="167" fontId="2" fillId="0" borderId="0" xfId="1" applyNumberFormat="1" applyFont="1"/>
    <xf numFmtId="0" fontId="2" fillId="0" borderId="0" xfId="1" applyFont="1" applyProtection="1">
      <protection locked="0"/>
    </xf>
    <xf numFmtId="0" fontId="2" fillId="0" borderId="0" xfId="1" applyFont="1" applyAlignment="1">
      <alignment horizontal="center"/>
    </xf>
    <xf numFmtId="15" fontId="2" fillId="0" borderId="0" xfId="1" applyNumberFormat="1" applyFont="1" applyAlignment="1">
      <alignment horizontal="center"/>
    </xf>
    <xf numFmtId="0" fontId="2" fillId="0" borderId="0" xfId="4"/>
    <xf numFmtId="0" fontId="11" fillId="0" borderId="0" xfId="4" applyFont="1"/>
    <xf numFmtId="0" fontId="2" fillId="0" borderId="0" xfId="4" applyAlignment="1">
      <alignment horizontal="left"/>
    </xf>
    <xf numFmtId="0" fontId="2" fillId="0" borderId="16" xfId="4" applyFill="1" applyBorder="1"/>
    <xf numFmtId="0" fontId="2" fillId="0" borderId="1" xfId="4" applyBorder="1"/>
    <xf numFmtId="0" fontId="2" fillId="0" borderId="1" xfId="4" applyBorder="1" applyAlignment="1">
      <alignment horizontal="left"/>
    </xf>
    <xf numFmtId="0" fontId="5" fillId="5" borderId="1" xfId="4" applyFont="1" applyFill="1" applyBorder="1"/>
    <xf numFmtId="0" fontId="5" fillId="5" borderId="1" xfId="4" applyFont="1" applyFill="1" applyBorder="1" applyAlignment="1">
      <alignment horizontal="left"/>
    </xf>
    <xf numFmtId="0" fontId="4" fillId="0" borderId="0" xfId="4" applyFont="1"/>
    <xf numFmtId="9" fontId="10" fillId="0" borderId="0" xfId="1" applyNumberFormat="1" applyFont="1"/>
    <xf numFmtId="0" fontId="14" fillId="6" borderId="18" xfId="0" applyFont="1" applyFill="1" applyBorder="1" applyAlignment="1">
      <alignment horizontal="center" vertical="center"/>
    </xf>
    <xf numFmtId="0" fontId="15" fillId="0" borderId="1" xfId="0" applyFont="1" applyBorder="1" applyAlignment="1">
      <alignment horizontal="center" vertical="center"/>
    </xf>
    <xf numFmtId="0" fontId="16" fillId="0" borderId="0" xfId="1" applyFont="1" applyAlignment="1">
      <alignment horizontal="center" vertical="center"/>
    </xf>
    <xf numFmtId="0" fontId="16" fillId="0" borderId="1" xfId="1" applyFont="1" applyBorder="1" applyAlignment="1">
      <alignment horizontal="center" vertical="center"/>
    </xf>
    <xf numFmtId="0" fontId="17" fillId="0" borderId="0" xfId="1" applyFont="1" applyAlignment="1">
      <alignment horizontal="center" vertical="center"/>
    </xf>
    <xf numFmtId="0" fontId="18" fillId="0" borderId="1" xfId="0" applyFont="1" applyBorder="1"/>
    <xf numFmtId="0" fontId="14" fillId="6" borderId="17" xfId="0" applyFont="1" applyFill="1" applyBorder="1" applyAlignment="1">
      <alignment horizontal="center" vertical="center"/>
    </xf>
    <xf numFmtId="172" fontId="18" fillId="0" borderId="1" xfId="0" applyNumberFormat="1" applyFont="1" applyBorder="1" applyAlignment="1">
      <alignment horizontal="center" vertical="center"/>
    </xf>
    <xf numFmtId="0" fontId="18" fillId="0" borderId="0" xfId="0" applyFont="1"/>
    <xf numFmtId="0" fontId="15" fillId="0" borderId="0" xfId="0" applyFont="1" applyAlignment="1">
      <alignment horizontal="center" vertical="center"/>
    </xf>
    <xf numFmtId="0" fontId="18" fillId="0" borderId="0" xfId="0" applyFont="1" applyAlignment="1">
      <alignment horizontal="center" vertical="center"/>
    </xf>
    <xf numFmtId="0" fontId="18" fillId="0" borderId="1" xfId="0" applyFont="1" applyBorder="1" applyAlignment="1">
      <alignment horizontal="center" vertical="center"/>
    </xf>
    <xf numFmtId="172" fontId="18" fillId="0" borderId="19" xfId="0" applyNumberFormat="1" applyFont="1" applyBorder="1" applyAlignment="1">
      <alignment horizontal="center" vertical="center"/>
    </xf>
    <xf numFmtId="172" fontId="18" fillId="0" borderId="0" xfId="0" applyNumberFormat="1" applyFont="1" applyAlignment="1">
      <alignment horizontal="center" vertical="center"/>
    </xf>
    <xf numFmtId="172" fontId="15" fillId="0" borderId="0" xfId="0" applyNumberFormat="1" applyFont="1" applyAlignment="1">
      <alignment horizontal="center" vertical="center"/>
    </xf>
    <xf numFmtId="172" fontId="18" fillId="0" borderId="20" xfId="0" applyNumberFormat="1" applyFont="1" applyBorder="1" applyAlignment="1">
      <alignment horizontal="center" vertical="center"/>
    </xf>
    <xf numFmtId="0" fontId="9" fillId="0" borderId="0" xfId="4" applyFont="1" applyAlignment="1">
      <alignment horizontal="center" vertical="center"/>
    </xf>
    <xf numFmtId="170" fontId="9" fillId="0" borderId="0" xfId="4" applyNumberFormat="1" applyFont="1" applyAlignment="1">
      <alignment horizontal="center" vertical="center"/>
    </xf>
    <xf numFmtId="9" fontId="8" fillId="0" borderId="0" xfId="4" applyNumberFormat="1" applyFont="1" applyAlignment="1">
      <alignment horizontal="center" vertical="center"/>
    </xf>
    <xf numFmtId="0" fontId="2" fillId="0" borderId="0" xfId="4" applyAlignment="1">
      <alignment horizontal="center" vertical="center"/>
    </xf>
    <xf numFmtId="0" fontId="8" fillId="0" borderId="0" xfId="4" applyFont="1" applyAlignment="1">
      <alignment horizontal="center" vertical="center"/>
    </xf>
    <xf numFmtId="2" fontId="8" fillId="0" borderId="0" xfId="4" applyNumberFormat="1" applyFont="1" applyAlignment="1">
      <alignment horizontal="center" vertical="center"/>
    </xf>
    <xf numFmtId="164" fontId="2" fillId="0" borderId="0" xfId="4" applyNumberFormat="1" applyAlignment="1">
      <alignment horizontal="center" vertical="center"/>
    </xf>
    <xf numFmtId="10" fontId="8" fillId="0" borderId="0" xfId="4" applyNumberFormat="1" applyFont="1" applyAlignment="1">
      <alignment horizontal="center" vertical="center"/>
    </xf>
    <xf numFmtId="169" fontId="8" fillId="0" borderId="0" xfId="4" applyNumberFormat="1" applyFont="1" applyAlignment="1">
      <alignment horizontal="center" vertical="center"/>
    </xf>
    <xf numFmtId="0" fontId="13" fillId="0" borderId="0" xfId="4" applyFont="1" applyAlignment="1">
      <alignment horizontal="center" vertical="center"/>
    </xf>
    <xf numFmtId="0" fontId="4" fillId="0" borderId="0" xfId="4" applyFont="1" applyAlignment="1">
      <alignment horizontal="center" vertical="center"/>
    </xf>
    <xf numFmtId="9" fontId="4" fillId="0" borderId="0" xfId="4" applyNumberFormat="1" applyFont="1" applyAlignment="1">
      <alignment horizontal="center" vertical="center"/>
    </xf>
    <xf numFmtId="2" fontId="4" fillId="0" borderId="0" xfId="4" applyNumberFormat="1" applyFont="1" applyAlignment="1">
      <alignment horizontal="center" vertical="center"/>
    </xf>
    <xf numFmtId="0" fontId="13" fillId="0" borderId="1" xfId="4" applyFont="1" applyBorder="1" applyAlignment="1">
      <alignment horizontal="center" vertical="center"/>
    </xf>
    <xf numFmtId="10" fontId="13" fillId="0" borderId="1" xfId="4" applyNumberFormat="1" applyFont="1" applyBorder="1" applyAlignment="1">
      <alignment horizontal="center" vertical="center"/>
    </xf>
    <xf numFmtId="2" fontId="4" fillId="0" borderId="1" xfId="4" applyNumberFormat="1" applyFont="1" applyBorder="1" applyAlignment="1">
      <alignment horizontal="center" vertical="center"/>
    </xf>
    <xf numFmtId="0" fontId="5" fillId="5" borderId="1" xfId="4" applyFont="1" applyFill="1" applyBorder="1" applyAlignment="1">
      <alignment horizontal="center" vertical="center"/>
    </xf>
    <xf numFmtId="0" fontId="2" fillId="0" borderId="1" xfId="4" applyBorder="1" applyAlignment="1">
      <alignment horizontal="center" vertical="center"/>
    </xf>
    <xf numFmtId="3" fontId="2" fillId="0" borderId="1" xfId="4" applyNumberFormat="1" applyBorder="1" applyAlignment="1">
      <alignment horizontal="center" vertical="center"/>
    </xf>
    <xf numFmtId="0" fontId="19" fillId="0" borderId="0" xfId="0" applyFont="1"/>
    <xf numFmtId="0" fontId="19" fillId="0" borderId="0" xfId="0" applyFont="1" applyAlignment="1">
      <alignment horizontal="center" vertical="center"/>
    </xf>
    <xf numFmtId="0" fontId="0" fillId="0" borderId="0" xfId="0" applyAlignment="1">
      <alignment horizontal="center" vertical="center"/>
    </xf>
    <xf numFmtId="0" fontId="19" fillId="8" borderId="1" xfId="0" applyFont="1" applyFill="1" applyBorder="1" applyAlignment="1">
      <alignment horizontal="center" vertical="center"/>
    </xf>
    <xf numFmtId="0" fontId="0" fillId="0" borderId="1" xfId="0" applyBorder="1" applyAlignment="1">
      <alignment horizontal="center" vertical="center"/>
    </xf>
    <xf numFmtId="0" fontId="18" fillId="0" borderId="1" xfId="1" applyFont="1" applyBorder="1" applyAlignment="1">
      <alignment horizontal="center" vertical="center"/>
    </xf>
    <xf numFmtId="0" fontId="0" fillId="0" borderId="1" xfId="0" applyBorder="1"/>
    <xf numFmtId="0" fontId="21" fillId="10" borderId="24" xfId="0" applyFont="1" applyFill="1" applyBorder="1"/>
    <xf numFmtId="0" fontId="21" fillId="10" borderId="25" xfId="0" applyFont="1" applyFill="1" applyBorder="1" applyAlignment="1">
      <alignment horizontal="center" vertical="center"/>
    </xf>
    <xf numFmtId="0" fontId="21" fillId="10" borderId="26" xfId="0" applyFont="1" applyFill="1" applyBorder="1" applyAlignment="1">
      <alignment horizontal="center" vertical="center"/>
    </xf>
    <xf numFmtId="0" fontId="0" fillId="0" borderId="27" xfId="0" applyBorder="1" applyAlignment="1">
      <alignment horizontal="center" vertical="center"/>
    </xf>
    <xf numFmtId="0" fontId="0" fillId="0" borderId="27" xfId="0" applyBorder="1" applyAlignment="1">
      <alignment horizontal="left" vertical="center"/>
    </xf>
    <xf numFmtId="0" fontId="21" fillId="12" borderId="27" xfId="0" applyFont="1" applyFill="1" applyBorder="1" applyAlignment="1">
      <alignment horizontal="center" vertical="center"/>
    </xf>
    <xf numFmtId="0" fontId="21" fillId="12" borderId="27" xfId="0" applyFont="1" applyFill="1" applyBorder="1" applyAlignment="1">
      <alignment horizontal="left" vertical="center"/>
    </xf>
    <xf numFmtId="14" fontId="2" fillId="0" borderId="1" xfId="4" applyNumberFormat="1" applyBorder="1" applyAlignment="1">
      <alignment horizontal="center" vertical="center"/>
    </xf>
    <xf numFmtId="0" fontId="22" fillId="14" borderId="1" xfId="1" applyFont="1" applyFill="1" applyBorder="1" applyAlignment="1">
      <alignment horizontal="center" vertical="center"/>
    </xf>
    <xf numFmtId="0" fontId="22" fillId="14" borderId="1" xfId="1" applyFont="1" applyFill="1" applyBorder="1" applyAlignment="1">
      <alignment horizontal="center" vertical="center" wrapText="1"/>
    </xf>
    <xf numFmtId="15" fontId="2" fillId="0" borderId="1" xfId="1" applyNumberFormat="1" applyFont="1" applyBorder="1" applyAlignment="1">
      <alignment horizontal="center"/>
    </xf>
    <xf numFmtId="0" fontId="2" fillId="0" borderId="1" xfId="1" applyFont="1" applyBorder="1" applyAlignment="1">
      <alignment horizontal="center"/>
    </xf>
    <xf numFmtId="0" fontId="2" fillId="0" borderId="1" xfId="1" applyFont="1" applyBorder="1" applyProtection="1">
      <protection locked="0"/>
    </xf>
    <xf numFmtId="167" fontId="2" fillId="0" borderId="1" xfId="1" applyNumberFormat="1" applyFont="1" applyBorder="1"/>
    <xf numFmtId="0" fontId="9" fillId="15" borderId="1" xfId="1" applyFont="1" applyFill="1" applyBorder="1" applyAlignment="1">
      <alignment vertical="center" wrapText="1"/>
    </xf>
    <xf numFmtId="0" fontId="9" fillId="15" borderId="1" xfId="1" applyFont="1" applyFill="1" applyBorder="1" applyAlignment="1">
      <alignment horizontal="center" vertical="center" wrapText="1"/>
    </xf>
    <xf numFmtId="0" fontId="23" fillId="0" borderId="1" xfId="2" applyNumberFormat="1" applyFont="1" applyBorder="1" applyAlignment="1">
      <alignment horizontal="center" vertical="center"/>
    </xf>
    <xf numFmtId="0" fontId="5" fillId="0" borderId="1" xfId="1" applyFont="1" applyBorder="1"/>
    <xf numFmtId="0" fontId="8" fillId="0" borderId="1" xfId="1" applyFont="1" applyBorder="1" applyAlignment="1">
      <alignment horizontal="center" vertical="center"/>
    </xf>
    <xf numFmtId="0" fontId="10" fillId="0" borderId="11" xfId="1" applyFont="1" applyBorder="1" applyAlignment="1">
      <alignment horizontal="justify" vertical="top"/>
    </xf>
    <xf numFmtId="0" fontId="10" fillId="0" borderId="10" xfId="1" applyFont="1" applyBorder="1" applyAlignment="1">
      <alignment horizontal="justify" vertical="top"/>
    </xf>
    <xf numFmtId="0" fontId="10" fillId="0" borderId="0" xfId="1" applyFont="1" applyAlignment="1">
      <alignment horizontal="justify"/>
    </xf>
    <xf numFmtId="0" fontId="17" fillId="0" borderId="37" xfId="1" applyFont="1" applyBorder="1" applyAlignment="1">
      <alignment horizontal="left" vertical="top"/>
    </xf>
    <xf numFmtId="0" fontId="17" fillId="0" borderId="39" xfId="1" applyFont="1" applyBorder="1" applyAlignment="1">
      <alignment horizontal="left" vertical="top"/>
    </xf>
    <xf numFmtId="0" fontId="17" fillId="0" borderId="38" xfId="1" applyFont="1" applyBorder="1" applyAlignment="1">
      <alignment horizontal="left" vertical="top"/>
    </xf>
    <xf numFmtId="0" fontId="17" fillId="0" borderId="40" xfId="1" applyFont="1" applyBorder="1" applyAlignment="1">
      <alignment horizontal="left" vertical="top"/>
    </xf>
    <xf numFmtId="0" fontId="17" fillId="0" borderId="41" xfId="1" applyFont="1" applyBorder="1" applyAlignment="1">
      <alignment horizontal="left" vertical="top"/>
    </xf>
    <xf numFmtId="0" fontId="10" fillId="0" borderId="10" xfId="1" applyFont="1" applyBorder="1" applyAlignment="1">
      <alignment horizontal="center" vertical="center"/>
    </xf>
    <xf numFmtId="2" fontId="10" fillId="0" borderId="10" xfId="1" applyNumberFormat="1" applyFont="1" applyBorder="1" applyAlignment="1">
      <alignment horizontal="center" vertical="center"/>
    </xf>
    <xf numFmtId="0" fontId="10" fillId="0" borderId="10" xfId="1" applyFont="1" applyBorder="1" applyAlignment="1">
      <alignment horizontal="left" vertical="center"/>
    </xf>
    <xf numFmtId="0" fontId="0" fillId="17" borderId="1" xfId="0" applyFill="1" applyBorder="1" applyAlignment="1">
      <alignment horizontal="center" vertical="center"/>
    </xf>
    <xf numFmtId="0" fontId="16" fillId="0" borderId="0" xfId="1" applyFont="1"/>
    <xf numFmtId="0" fontId="23" fillId="0" borderId="1" xfId="1" applyNumberFormat="1" applyFont="1" applyBorder="1" applyAlignment="1">
      <alignment horizontal="center" vertical="center"/>
    </xf>
    <xf numFmtId="0" fontId="16" fillId="0" borderId="0" xfId="1" applyNumberFormat="1" applyFont="1"/>
    <xf numFmtId="0" fontId="0" fillId="0" borderId="0" xfId="0" applyAlignment="1">
      <alignment vertical="center"/>
    </xf>
    <xf numFmtId="14" fontId="0" fillId="0" borderId="0" xfId="0" applyNumberFormat="1" applyAlignment="1">
      <alignment vertical="center"/>
    </xf>
    <xf numFmtId="14" fontId="0" fillId="0" borderId="1" xfId="0" applyNumberFormat="1" applyBorder="1" applyAlignment="1">
      <alignment horizontal="center" vertical="center"/>
    </xf>
    <xf numFmtId="0" fontId="19" fillId="11" borderId="1" xfId="0" applyFont="1" applyFill="1" applyBorder="1" applyAlignment="1">
      <alignment horizontal="center" vertical="center"/>
    </xf>
    <xf numFmtId="0" fontId="0" fillId="0" borderId="0" xfId="0" applyFont="1"/>
    <xf numFmtId="0" fontId="10" fillId="0" borderId="11" xfId="1" applyFont="1" applyBorder="1" applyAlignment="1">
      <alignment horizontal="center" vertical="top"/>
    </xf>
    <xf numFmtId="0" fontId="17" fillId="16" borderId="13" xfId="1" applyFont="1" applyFill="1" applyBorder="1" applyAlignment="1">
      <alignment horizontal="center" vertical="center"/>
    </xf>
    <xf numFmtId="0" fontId="17" fillId="16" borderId="12" xfId="1" applyFont="1" applyFill="1" applyBorder="1" applyAlignment="1">
      <alignment horizontal="center" vertical="center"/>
    </xf>
    <xf numFmtId="0" fontId="17" fillId="0" borderId="0" xfId="1" applyFont="1" applyAlignment="1">
      <alignment horizontal="center" vertical="center" wrapText="1"/>
    </xf>
    <xf numFmtId="0" fontId="10" fillId="0" borderId="0" xfId="1" applyFont="1" applyAlignment="1">
      <alignment horizontal="center"/>
    </xf>
    <xf numFmtId="0" fontId="10" fillId="0" borderId="10" xfId="1" applyFont="1" applyBorder="1" applyAlignment="1">
      <alignment horizontal="left" vertical="top"/>
    </xf>
    <xf numFmtId="0" fontId="17" fillId="16" borderId="13" xfId="1" applyFont="1" applyFill="1" applyBorder="1" applyAlignment="1">
      <alignment horizontal="left" vertical="top"/>
    </xf>
    <xf numFmtId="0" fontId="17" fillId="16" borderId="13" xfId="1" applyFont="1" applyFill="1" applyBorder="1" applyAlignment="1">
      <alignment horizontal="left" vertical="center"/>
    </xf>
    <xf numFmtId="0" fontId="17" fillId="16" borderId="12" xfId="1" applyFont="1" applyFill="1" applyBorder="1" applyAlignment="1">
      <alignment horizontal="left" vertical="center"/>
    </xf>
    <xf numFmtId="0" fontId="16" fillId="0" borderId="0" xfId="0" applyFont="1" applyAlignment="1">
      <alignment vertical="center"/>
    </xf>
    <xf numFmtId="0" fontId="25" fillId="14" borderId="1" xfId="1" applyFont="1" applyFill="1" applyBorder="1" applyAlignment="1">
      <alignment horizontal="left" vertical="center"/>
    </xf>
    <xf numFmtId="0" fontId="25" fillId="14" borderId="1" xfId="1" applyFont="1" applyFill="1" applyBorder="1" applyAlignment="1">
      <alignment horizontal="center" vertical="center"/>
    </xf>
    <xf numFmtId="0" fontId="16" fillId="0" borderId="0" xfId="0" applyFont="1" applyAlignment="1">
      <alignment horizontal="center" vertical="center"/>
    </xf>
    <xf numFmtId="0" fontId="8" fillId="0" borderId="1" xfId="1" applyFont="1" applyBorder="1" applyAlignment="1">
      <alignment vertical="center"/>
    </xf>
    <xf numFmtId="15" fontId="8" fillId="0" borderId="1" xfId="1" applyNumberFormat="1" applyFont="1" applyBorder="1" applyAlignment="1">
      <alignment horizontal="center" vertical="center"/>
    </xf>
    <xf numFmtId="0" fontId="16" fillId="0" borderId="1" xfId="0" applyFont="1" applyBorder="1" applyAlignment="1">
      <alignment vertical="center"/>
    </xf>
    <xf numFmtId="14" fontId="16" fillId="0" borderId="0" xfId="0" applyNumberFormat="1" applyFont="1" applyAlignment="1">
      <alignment vertical="center"/>
    </xf>
    <xf numFmtId="0" fontId="8" fillId="0" borderId="0" xfId="1" applyFont="1" applyAlignment="1">
      <alignment vertical="center"/>
    </xf>
    <xf numFmtId="15" fontId="8" fillId="0" borderId="0" xfId="1" applyNumberFormat="1" applyFont="1" applyAlignment="1">
      <alignment horizontal="center" vertical="center"/>
    </xf>
    <xf numFmtId="0" fontId="2" fillId="0" borderId="1" xfId="1" applyFont="1" applyBorder="1" applyAlignment="1">
      <alignment horizontal="center" vertical="center"/>
    </xf>
    <xf numFmtId="15" fontId="2" fillId="0" borderId="1" xfId="1" applyNumberFormat="1" applyFont="1" applyBorder="1" applyAlignment="1">
      <alignment horizontal="center" vertical="center"/>
    </xf>
    <xf numFmtId="0" fontId="2" fillId="0" borderId="1" xfId="1" applyFont="1" applyBorder="1" applyAlignment="1" applyProtection="1">
      <alignment horizontal="center" vertical="center"/>
      <protection locked="0"/>
    </xf>
    <xf numFmtId="167" fontId="2" fillId="0" borderId="1" xfId="1" applyNumberFormat="1" applyFont="1" applyBorder="1" applyAlignment="1">
      <alignment horizontal="center" vertical="center"/>
    </xf>
    <xf numFmtId="0" fontId="19" fillId="0" borderId="1" xfId="0" applyFont="1" applyBorder="1"/>
    <xf numFmtId="0" fontId="0" fillId="0" borderId="33" xfId="0" applyBorder="1"/>
    <xf numFmtId="14" fontId="0" fillId="0" borderId="23" xfId="0" applyNumberFormat="1" applyBorder="1" applyAlignment="1">
      <alignment horizontal="center" vertical="center"/>
    </xf>
    <xf numFmtId="0" fontId="0" fillId="0" borderId="23" xfId="0" applyBorder="1" applyAlignment="1">
      <alignment horizontal="center" vertical="center"/>
    </xf>
    <xf numFmtId="0" fontId="19" fillId="0" borderId="1" xfId="0" applyFon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9" fillId="0" borderId="0" xfId="1" applyFont="1" applyAlignment="1">
      <alignment horizontal="center" vertical="center"/>
    </xf>
    <xf numFmtId="0" fontId="21" fillId="14" borderId="1" xfId="1" applyFont="1" applyFill="1" applyBorder="1" applyAlignment="1">
      <alignment horizontal="center" vertical="center"/>
    </xf>
    <xf numFmtId="0" fontId="21" fillId="14" borderId="1" xfId="1" applyFont="1" applyFill="1" applyBorder="1" applyAlignment="1">
      <alignment horizontal="left" vertical="center"/>
    </xf>
    <xf numFmtId="0" fontId="16" fillId="0" borderId="1" xfId="1" applyFont="1" applyBorder="1" applyAlignment="1">
      <alignment horizontal="left" vertical="center"/>
    </xf>
    <xf numFmtId="0" fontId="16" fillId="0" borderId="0" xfId="1" applyFont="1" applyAlignment="1">
      <alignment horizontal="left" vertical="center"/>
    </xf>
    <xf numFmtId="0" fontId="4" fillId="0" borderId="0" xfId="1" applyFont="1"/>
    <xf numFmtId="0" fontId="4" fillId="0" borderId="0" xfId="1" applyFont="1" applyAlignment="1">
      <alignment horizontal="left" indent="4"/>
    </xf>
    <xf numFmtId="0" fontId="16" fillId="0" borderId="0" xfId="1" applyFont="1" applyFill="1" applyBorder="1" applyAlignment="1">
      <alignment horizontal="center" vertical="center"/>
    </xf>
    <xf numFmtId="0" fontId="0" fillId="0" borderId="1" xfId="0" applyBorder="1" applyAlignment="1">
      <alignment horizontal="center"/>
    </xf>
    <xf numFmtId="0" fontId="27" fillId="11" borderId="1" xfId="1" applyFont="1" applyFill="1" applyBorder="1"/>
    <xf numFmtId="0" fontId="27" fillId="11" borderId="1" xfId="1" applyFont="1" applyFill="1" applyBorder="1" applyAlignment="1">
      <alignment horizontal="center" vertical="center"/>
    </xf>
    <xf numFmtId="0" fontId="28" fillId="0" borderId="15" xfId="1" applyFont="1" applyBorder="1"/>
    <xf numFmtId="0" fontId="28" fillId="0" borderId="8" xfId="1" applyFont="1" applyBorder="1"/>
    <xf numFmtId="0" fontId="9" fillId="0" borderId="14" xfId="1" applyFont="1" applyBorder="1" applyAlignment="1">
      <alignment horizontal="center"/>
    </xf>
    <xf numFmtId="2" fontId="16" fillId="0" borderId="6" xfId="1" applyNumberFormat="1" applyFont="1" applyBorder="1" applyAlignment="1">
      <alignment horizontal="center"/>
    </xf>
    <xf numFmtId="0" fontId="16" fillId="0" borderId="1" xfId="1" applyFont="1" applyBorder="1" applyAlignment="1">
      <alignment horizontal="center"/>
    </xf>
    <xf numFmtId="10" fontId="16" fillId="0" borderId="1" xfId="1" applyNumberFormat="1" applyFont="1" applyBorder="1" applyAlignment="1">
      <alignment horizontal="center"/>
    </xf>
    <xf numFmtId="0" fontId="1" fillId="0" borderId="0" xfId="1" applyAlignment="1">
      <alignment horizontal="center" vertical="center"/>
    </xf>
    <xf numFmtId="0" fontId="2" fillId="0" borderId="0" xfId="1" applyFont="1" applyAlignment="1">
      <alignment horizontal="center" vertical="center"/>
    </xf>
    <xf numFmtId="0" fontId="9" fillId="0" borderId="1" xfId="1" applyFont="1" applyBorder="1" applyAlignment="1" applyProtection="1">
      <alignment horizontal="left"/>
    </xf>
    <xf numFmtId="0" fontId="8" fillId="0" borderId="1" xfId="1" applyNumberFormat="1" applyFont="1" applyBorder="1" applyAlignment="1" applyProtection="1">
      <alignment horizontal="center"/>
    </xf>
    <xf numFmtId="0" fontId="1" fillId="0" borderId="0" xfId="1" applyFont="1"/>
    <xf numFmtId="9" fontId="8" fillId="0" borderId="1" xfId="1" applyNumberFormat="1" applyFont="1" applyBorder="1" applyAlignment="1" applyProtection="1">
      <alignment horizontal="center"/>
    </xf>
    <xf numFmtId="1" fontId="8" fillId="0" borderId="1" xfId="1" applyNumberFormat="1" applyFont="1" applyBorder="1" applyAlignment="1" applyProtection="1">
      <alignment horizontal="center"/>
    </xf>
    <xf numFmtId="0" fontId="1" fillId="0" borderId="0" xfId="1" applyFont="1" applyAlignment="1">
      <alignment horizontal="center"/>
    </xf>
    <xf numFmtId="2" fontId="8" fillId="0" borderId="1" xfId="1" applyNumberFormat="1" applyFont="1" applyBorder="1" applyAlignment="1" applyProtection="1">
      <alignment horizontal="center"/>
    </xf>
    <xf numFmtId="0" fontId="9" fillId="0" borderId="0" xfId="3" applyFont="1" applyBorder="1" applyAlignment="1">
      <alignment horizontal="center" vertical="center"/>
    </xf>
    <xf numFmtId="0" fontId="9" fillId="0" borderId="0" xfId="3" applyFont="1" applyAlignment="1">
      <alignment horizontal="center" vertical="center"/>
    </xf>
    <xf numFmtId="0" fontId="8" fillId="0" borderId="0" xfId="3" applyFont="1" applyAlignment="1">
      <alignment horizontal="center" vertical="center"/>
    </xf>
    <xf numFmtId="0" fontId="8" fillId="0" borderId="0" xfId="3" applyFont="1" applyBorder="1" applyAlignment="1">
      <alignment horizontal="center" vertical="center"/>
    </xf>
    <xf numFmtId="166" fontId="8" fillId="0" borderId="0" xfId="5" applyFont="1" applyAlignment="1">
      <alignment horizontal="center" vertical="center"/>
    </xf>
    <xf numFmtId="166" fontId="8" fillId="0" borderId="0" xfId="4" applyNumberFormat="1" applyFont="1" applyAlignment="1">
      <alignment horizontal="center" vertical="center"/>
    </xf>
    <xf numFmtId="168" fontId="8" fillId="0" borderId="0" xfId="4" applyNumberFormat="1" applyFont="1" applyAlignment="1">
      <alignment horizontal="center" vertical="center"/>
    </xf>
    <xf numFmtId="0" fontId="9" fillId="0" borderId="1" xfId="4" applyFont="1" applyBorder="1" applyAlignment="1">
      <alignment horizontal="center" vertical="center"/>
    </xf>
    <xf numFmtId="0" fontId="8" fillId="0" borderId="1" xfId="4" applyFont="1" applyBorder="1" applyAlignment="1">
      <alignment horizontal="center" vertical="center"/>
    </xf>
    <xf numFmtId="0" fontId="16" fillId="0" borderId="1" xfId="0" applyFont="1" applyBorder="1" applyAlignment="1">
      <alignment horizontal="center" vertical="center"/>
    </xf>
    <xf numFmtId="0" fontId="8" fillId="0" borderId="1" xfId="4" applyFont="1" applyBorder="1" applyAlignment="1">
      <alignment vertical="center"/>
    </xf>
    <xf numFmtId="0" fontId="21" fillId="18" borderId="1" xfId="4" applyFont="1" applyFill="1" applyBorder="1" applyAlignment="1">
      <alignment vertical="center"/>
    </xf>
    <xf numFmtId="0" fontId="21" fillId="18" borderId="1" xfId="4" applyFont="1" applyFill="1" applyBorder="1" applyAlignment="1">
      <alignment horizontal="center" vertical="center"/>
    </xf>
    <xf numFmtId="0" fontId="21" fillId="0" borderId="0" xfId="0" applyFont="1" applyAlignment="1">
      <alignment vertical="center"/>
    </xf>
    <xf numFmtId="0" fontId="10" fillId="0" borderId="0" xfId="4" applyFont="1"/>
    <xf numFmtId="0" fontId="10" fillId="0" borderId="0" xfId="4" applyFont="1" applyAlignment="1">
      <alignment horizontal="center" vertical="center"/>
    </xf>
    <xf numFmtId="0" fontId="17" fillId="0" borderId="1" xfId="4" applyFont="1" applyBorder="1" applyAlignment="1">
      <alignment horizontal="center" vertical="center"/>
    </xf>
    <xf numFmtId="0" fontId="10" fillId="0" borderId="1" xfId="4" applyFont="1" applyBorder="1" applyAlignment="1">
      <alignment horizontal="center" vertical="center"/>
    </xf>
    <xf numFmtId="0" fontId="10" fillId="0" borderId="1" xfId="4" applyFont="1" applyBorder="1"/>
    <xf numFmtId="0" fontId="10" fillId="8" borderId="1" xfId="4" applyFont="1" applyFill="1" applyBorder="1" applyAlignment="1">
      <alignment horizontal="center" vertical="center"/>
    </xf>
    <xf numFmtId="0" fontId="10" fillId="0" borderId="0" xfId="4" applyFont="1" applyBorder="1"/>
    <xf numFmtId="0" fontId="10" fillId="0" borderId="0" xfId="4" applyFont="1" applyBorder="1" applyAlignment="1">
      <alignment horizontal="center" vertical="center"/>
    </xf>
    <xf numFmtId="14" fontId="10" fillId="0" borderId="1" xfId="4" applyNumberFormat="1" applyFont="1" applyBorder="1"/>
    <xf numFmtId="14" fontId="10" fillId="0" borderId="0" xfId="4" applyNumberFormat="1" applyFont="1"/>
    <xf numFmtId="0" fontId="18" fillId="0" borderId="0" xfId="0" applyFont="1" applyBorder="1"/>
    <xf numFmtId="171" fontId="10" fillId="0" borderId="1" xfId="4" applyNumberFormat="1" applyFont="1" applyBorder="1" applyAlignment="1">
      <alignment horizontal="center" vertical="center"/>
    </xf>
    <xf numFmtId="0" fontId="18" fillId="0" borderId="0" xfId="0" applyFont="1" applyBorder="1" applyAlignment="1">
      <alignment horizontal="center" vertical="center"/>
    </xf>
    <xf numFmtId="1" fontId="10" fillId="0" borderId="1" xfId="4" applyNumberFormat="1" applyFont="1" applyBorder="1" applyAlignment="1">
      <alignment horizontal="center" vertical="center"/>
    </xf>
    <xf numFmtId="0" fontId="17" fillId="8" borderId="1" xfId="4" applyFont="1" applyFill="1" applyBorder="1"/>
    <xf numFmtId="0" fontId="17" fillId="8" borderId="1" xfId="4" applyFont="1" applyFill="1" applyBorder="1" applyAlignment="1">
      <alignment horizontal="center" vertical="center"/>
    </xf>
    <xf numFmtId="0" fontId="17" fillId="16" borderId="1" xfId="4" applyFont="1" applyFill="1" applyBorder="1" applyAlignment="1">
      <alignment horizontal="center" vertical="center"/>
    </xf>
    <xf numFmtId="0" fontId="10" fillId="16" borderId="1" xfId="4" applyFont="1" applyFill="1" applyBorder="1" applyAlignment="1">
      <alignment horizontal="center" vertical="center"/>
    </xf>
    <xf numFmtId="0" fontId="22" fillId="19" borderId="1" xfId="4" applyFont="1" applyFill="1" applyBorder="1" applyAlignment="1">
      <alignment horizontal="center" vertical="center"/>
    </xf>
    <xf numFmtId="0" fontId="22" fillId="19" borderId="1" xfId="4" applyFont="1" applyFill="1" applyBorder="1"/>
    <xf numFmtId="0" fontId="27" fillId="8" borderId="1" xfId="1" applyFont="1" applyFill="1" applyBorder="1" applyAlignment="1">
      <alignment horizontal="center" vertical="center"/>
    </xf>
    <xf numFmtId="0" fontId="27" fillId="20" borderId="1" xfId="1" applyFont="1" applyFill="1" applyBorder="1" applyAlignment="1">
      <alignment horizontal="center" vertical="center"/>
    </xf>
    <xf numFmtId="0" fontId="27" fillId="20" borderId="1" xfId="1" applyFont="1" applyFill="1" applyBorder="1" applyAlignment="1">
      <alignment horizontal="center" vertical="center" wrapText="1"/>
    </xf>
    <xf numFmtId="0" fontId="8" fillId="0" borderId="1" xfId="1" applyFont="1" applyBorder="1" applyAlignment="1">
      <alignment wrapText="1"/>
    </xf>
    <xf numFmtId="0" fontId="9" fillId="11" borderId="1" xfId="1" applyFont="1" applyFill="1" applyBorder="1"/>
    <xf numFmtId="0" fontId="9" fillId="11" borderId="1" xfId="1" applyFont="1" applyFill="1" applyBorder="1" applyAlignment="1">
      <alignment horizontal="center" vertical="center"/>
    </xf>
    <xf numFmtId="0" fontId="16" fillId="0" borderId="1" xfId="1" applyFont="1" applyBorder="1"/>
    <xf numFmtId="0" fontId="16" fillId="0" borderId="0" xfId="0" applyFont="1"/>
    <xf numFmtId="14" fontId="16" fillId="0" borderId="0" xfId="0" applyNumberFormat="1" applyFont="1" applyAlignment="1">
      <alignment horizontal="center" vertical="center"/>
    </xf>
    <xf numFmtId="0" fontId="22" fillId="22" borderId="1" xfId="1" applyFont="1" applyFill="1" applyBorder="1" applyAlignment="1">
      <alignment horizontal="center" vertical="center"/>
    </xf>
    <xf numFmtId="0" fontId="22" fillId="22" borderId="1" xfId="1" applyFont="1" applyFill="1" applyBorder="1" applyAlignment="1">
      <alignment horizontal="center" vertical="center" wrapText="1"/>
    </xf>
    <xf numFmtId="0" fontId="17" fillId="15" borderId="1" xfId="4" applyFont="1" applyFill="1" applyBorder="1" applyAlignment="1">
      <alignment horizontal="center" vertical="center"/>
    </xf>
    <xf numFmtId="0" fontId="17" fillId="15" borderId="1" xfId="4" applyFont="1" applyFill="1" applyBorder="1"/>
    <xf numFmtId="0" fontId="19" fillId="0" borderId="1" xfId="0" applyFont="1" applyBorder="1" applyAlignment="1">
      <alignment horizontal="center" vertical="center"/>
    </xf>
    <xf numFmtId="0" fontId="21" fillId="12" borderId="1" xfId="0" applyFont="1" applyFill="1" applyBorder="1" applyAlignment="1">
      <alignment horizontal="center" vertical="center"/>
    </xf>
    <xf numFmtId="0" fontId="18" fillId="0" borderId="19" xfId="0" applyNumberFormat="1" applyFont="1" applyBorder="1" applyAlignment="1">
      <alignment horizontal="center" vertical="center"/>
    </xf>
    <xf numFmtId="0" fontId="18" fillId="0" borderId="21" xfId="0" applyNumberFormat="1" applyFont="1" applyBorder="1" applyAlignment="1">
      <alignment horizontal="center" vertical="center"/>
    </xf>
    <xf numFmtId="0" fontId="18" fillId="7" borderId="1" xfId="0" applyNumberFormat="1" applyFont="1" applyFill="1" applyBorder="1" applyAlignment="1">
      <alignment horizontal="center" vertical="center"/>
    </xf>
    <xf numFmtId="0" fontId="21" fillId="14" borderId="1" xfId="0" applyFont="1" applyFill="1" applyBorder="1"/>
    <xf numFmtId="173" fontId="10" fillId="0" borderId="1" xfId="4" applyNumberFormat="1" applyFont="1" applyBorder="1" applyAlignment="1">
      <alignment horizontal="center" vertical="center"/>
    </xf>
    <xf numFmtId="0" fontId="9" fillId="23" borderId="1" xfId="3" applyFont="1" applyFill="1" applyBorder="1" applyAlignment="1">
      <alignment horizontal="center" vertical="center"/>
    </xf>
    <xf numFmtId="0" fontId="8" fillId="0" borderId="1" xfId="3" applyFont="1" applyBorder="1" applyAlignment="1">
      <alignment horizontal="center" vertical="center"/>
    </xf>
    <xf numFmtId="0" fontId="28" fillId="24" borderId="1" xfId="1" applyFont="1" applyFill="1" applyBorder="1" applyAlignment="1">
      <alignment horizontal="center" vertical="center" wrapText="1"/>
    </xf>
    <xf numFmtId="0" fontId="19" fillId="9"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Fill="1" applyBorder="1" applyAlignment="1">
      <alignment horizontal="center" vertical="center"/>
    </xf>
    <xf numFmtId="0" fontId="21" fillId="10" borderId="1" xfId="0" applyFont="1" applyFill="1" applyBorder="1" applyAlignment="1">
      <alignment horizontal="center" vertical="center"/>
    </xf>
    <xf numFmtId="0" fontId="24" fillId="13" borderId="1" xfId="1" applyFont="1" applyFill="1" applyBorder="1" applyAlignment="1">
      <alignment horizontal="center" vertical="center"/>
    </xf>
    <xf numFmtId="0" fontId="2" fillId="0" borderId="7" xfId="1" applyFont="1" applyBorder="1" applyAlignment="1">
      <alignment horizontal="center"/>
    </xf>
    <xf numFmtId="0" fontId="2" fillId="0" borderId="2" xfId="1" applyFont="1" applyBorder="1" applyAlignment="1">
      <alignment horizontal="center"/>
    </xf>
    <xf numFmtId="0" fontId="3" fillId="0" borderId="1" xfId="1" applyFont="1" applyBorder="1" applyAlignment="1">
      <alignment horizontal="center" vertical="center"/>
    </xf>
    <xf numFmtId="0" fontId="5" fillId="0" borderId="2" xfId="1" applyFont="1" applyBorder="1" applyAlignment="1">
      <alignment horizontal="center"/>
    </xf>
    <xf numFmtId="0" fontId="4" fillId="0" borderId="1" xfId="1" applyFont="1" applyBorder="1" applyAlignment="1">
      <alignment horizontal="center" vertical="center"/>
    </xf>
    <xf numFmtId="0" fontId="2" fillId="0" borderId="3" xfId="1" applyFont="1" applyBorder="1" applyAlignment="1">
      <alignment horizontal="center"/>
    </xf>
    <xf numFmtId="0" fontId="5" fillId="0" borderId="1" xfId="1" applyFont="1" applyBorder="1" applyAlignment="1">
      <alignment horizontal="center"/>
    </xf>
    <xf numFmtId="0" fontId="5" fillId="0" borderId="0" xfId="1" applyFont="1" applyAlignment="1">
      <alignment horizontal="center"/>
    </xf>
    <xf numFmtId="0" fontId="5" fillId="0" borderId="3" xfId="1" applyFont="1" applyBorder="1" applyAlignment="1">
      <alignment horizontal="center"/>
    </xf>
    <xf numFmtId="0" fontId="2" fillId="0" borderId="8" xfId="1" applyFont="1" applyBorder="1" applyAlignment="1">
      <alignment horizontal="center"/>
    </xf>
    <xf numFmtId="0" fontId="0" fillId="17" borderId="0" xfId="0" applyFill="1" applyBorder="1" applyAlignment="1">
      <alignment horizontal="center" vertical="center"/>
    </xf>
    <xf numFmtId="22" fontId="0" fillId="0" borderId="1" xfId="0" applyNumberFormat="1" applyBorder="1" applyAlignment="1">
      <alignment horizontal="center" vertical="center"/>
    </xf>
    <xf numFmtId="14" fontId="0" fillId="0" borderId="0" xfId="0" applyNumberFormat="1" applyAlignment="1">
      <alignment horizontal="center" vertical="center"/>
    </xf>
    <xf numFmtId="0" fontId="0" fillId="8" borderId="1" xfId="0" applyFill="1" applyBorder="1" applyAlignment="1">
      <alignment horizontal="center" vertical="center"/>
    </xf>
    <xf numFmtId="0" fontId="8" fillId="13" borderId="1" xfId="1" applyFont="1" applyFill="1" applyBorder="1" applyAlignment="1">
      <alignment horizontal="center" vertical="center"/>
    </xf>
    <xf numFmtId="0" fontId="0" fillId="0" borderId="0" xfId="0" applyNumberFormat="1"/>
    <xf numFmtId="18" fontId="16" fillId="0" borderId="0" xfId="1" applyNumberFormat="1" applyFont="1" applyAlignment="1">
      <alignment horizontal="center" vertical="center"/>
    </xf>
    <xf numFmtId="22" fontId="16" fillId="0" borderId="0" xfId="0" applyNumberFormat="1" applyFont="1" applyAlignment="1">
      <alignment vertical="center"/>
    </xf>
    <xf numFmtId="0" fontId="20" fillId="0" borderId="42" xfId="0" applyFont="1" applyFill="1" applyBorder="1" applyAlignment="1">
      <alignment vertical="center"/>
    </xf>
    <xf numFmtId="0" fontId="20" fillId="0" borderId="0" xfId="0" applyFont="1" applyFill="1" applyBorder="1" applyAlignment="1">
      <alignment vertical="center"/>
    </xf>
    <xf numFmtId="0" fontId="16" fillId="0" borderId="0" xfId="1" applyFont="1" applyAlignment="1">
      <alignment vertical="center"/>
    </xf>
    <xf numFmtId="0" fontId="0" fillId="0" borderId="42" xfId="0" applyBorder="1" applyAlignment="1"/>
    <xf numFmtId="0" fontId="0" fillId="0" borderId="0" xfId="0" applyAlignment="1"/>
    <xf numFmtId="0" fontId="19" fillId="0" borderId="0" xfId="0" applyFont="1" applyBorder="1" applyAlignment="1">
      <alignment horizontal="center" vertical="center"/>
    </xf>
    <xf numFmtId="0" fontId="0" fillId="0" borderId="0" xfId="0" applyBorder="1" applyAlignment="1">
      <alignment horizontal="center" vertical="center"/>
    </xf>
    <xf numFmtId="0" fontId="19" fillId="8" borderId="1" xfId="0" applyFont="1" applyFill="1" applyBorder="1" applyAlignment="1">
      <alignment horizontal="center"/>
    </xf>
    <xf numFmtId="16" fontId="19" fillId="8" borderId="1" xfId="0" applyNumberFormat="1" applyFont="1" applyFill="1" applyBorder="1" applyAlignment="1">
      <alignment horizontal="center"/>
    </xf>
    <xf numFmtId="0" fontId="9" fillId="8" borderId="1" xfId="0" applyFont="1" applyFill="1" applyBorder="1"/>
    <xf numFmtId="0" fontId="19" fillId="8" borderId="0" xfId="0" applyFont="1" applyFill="1"/>
    <xf numFmtId="0" fontId="0" fillId="0" borderId="22" xfId="0" applyBorder="1"/>
    <xf numFmtId="0" fontId="19" fillId="8" borderId="1" xfId="0" applyFont="1" applyFill="1" applyBorder="1"/>
    <xf numFmtId="14" fontId="0" fillId="0" borderId="1" xfId="0" applyNumberFormat="1" applyBorder="1"/>
    <xf numFmtId="0" fontId="8" fillId="0" borderId="22" xfId="4" applyFont="1" applyBorder="1" applyAlignment="1">
      <alignment vertical="center"/>
    </xf>
    <xf numFmtId="0" fontId="8" fillId="0" borderId="23" xfId="4" applyFont="1" applyBorder="1" applyAlignment="1">
      <alignment vertical="center"/>
    </xf>
    <xf numFmtId="0" fontId="8" fillId="0" borderId="44" xfId="4" applyFont="1" applyBorder="1" applyAlignment="1">
      <alignment vertical="center"/>
    </xf>
    <xf numFmtId="0" fontId="8" fillId="0" borderId="0" xfId="4" applyFont="1" applyBorder="1" applyAlignment="1">
      <alignment vertical="center"/>
    </xf>
    <xf numFmtId="0" fontId="14" fillId="25" borderId="1" xfId="4" applyFont="1" applyFill="1" applyBorder="1" applyAlignment="1">
      <alignment horizontal="center" vertical="center"/>
    </xf>
    <xf numFmtId="0" fontId="17" fillId="8" borderId="1" xfId="4" applyFont="1" applyFill="1" applyBorder="1" applyAlignment="1">
      <alignment horizontal="left" vertical="top"/>
    </xf>
    <xf numFmtId="0" fontId="0" fillId="0" borderId="0" xfId="0" applyAlignment="1">
      <alignment horizontal="left" vertical="top"/>
    </xf>
    <xf numFmtId="0" fontId="10" fillId="0" borderId="0" xfId="4" applyNumberFormat="1" applyFont="1"/>
    <xf numFmtId="0" fontId="29" fillId="0" borderId="0" xfId="11"/>
    <xf numFmtId="2" fontId="30" fillId="0" borderId="1" xfId="4" applyNumberFormat="1" applyFont="1" applyBorder="1" applyAlignment="1">
      <alignment horizontal="center" vertical="center"/>
    </xf>
    <xf numFmtId="0" fontId="5" fillId="0" borderId="0" xfId="4" applyFont="1" applyAlignment="1">
      <alignment horizontal="left"/>
    </xf>
    <xf numFmtId="0" fontId="5" fillId="0" borderId="0" xfId="4" applyFont="1"/>
    <xf numFmtId="0" fontId="19" fillId="13" borderId="1" xfId="0" applyFont="1" applyFill="1" applyBorder="1" applyAlignment="1">
      <alignment horizontal="center" vertical="center"/>
    </xf>
    <xf numFmtId="0" fontId="0" fillId="0" borderId="0" xfId="0" pivotButton="1"/>
    <xf numFmtId="0" fontId="0" fillId="0" borderId="1" xfId="0" pivotButton="1" applyBorder="1"/>
    <xf numFmtId="173" fontId="0" fillId="0" borderId="1" xfId="0" applyNumberFormat="1" applyBorder="1" applyAlignment="1">
      <alignment horizontal="center"/>
    </xf>
    <xf numFmtId="173" fontId="0" fillId="0" borderId="0" xfId="0" applyNumberFormat="1"/>
    <xf numFmtId="0" fontId="0" fillId="0" borderId="0" xfId="0" applyAlignment="1">
      <alignment horizontal="left"/>
    </xf>
    <xf numFmtId="0" fontId="31" fillId="8" borderId="1" xfId="1" applyFont="1" applyFill="1" applyBorder="1" applyAlignment="1">
      <alignment horizontal="center" vertical="center"/>
    </xf>
    <xf numFmtId="0" fontId="31" fillId="8" borderId="1" xfId="1" applyFont="1" applyFill="1" applyBorder="1" applyAlignment="1">
      <alignment horizontal="center" vertical="center" wrapText="1"/>
    </xf>
    <xf numFmtId="9" fontId="0" fillId="0" borderId="0" xfId="0" applyNumberFormat="1" applyAlignment="1">
      <alignment horizontal="center" vertical="center"/>
    </xf>
    <xf numFmtId="0" fontId="10" fillId="0" borderId="44" xfId="4" applyFont="1" applyBorder="1" applyAlignment="1">
      <alignment horizontal="center" vertical="center"/>
    </xf>
    <xf numFmtId="0" fontId="2" fillId="20" borderId="16" xfId="4" applyFill="1" applyBorder="1" applyAlignment="1">
      <alignment horizontal="center" vertical="center"/>
    </xf>
    <xf numFmtId="0" fontId="0" fillId="20" borderId="0" xfId="0" applyFill="1" applyAlignment="1">
      <alignment horizontal="center" vertical="center"/>
    </xf>
    <xf numFmtId="9" fontId="0" fillId="20" borderId="0" xfId="0" applyNumberFormat="1" applyFill="1" applyAlignment="1">
      <alignment horizontal="center" vertical="center"/>
    </xf>
    <xf numFmtId="0" fontId="5" fillId="2" borderId="1" xfId="1" applyFont="1" applyFill="1" applyBorder="1" applyAlignment="1">
      <alignment horizontal="center" vertical="center"/>
    </xf>
    <xf numFmtId="0" fontId="6" fillId="2" borderId="5" xfId="1" applyFont="1" applyFill="1" applyBorder="1" applyAlignment="1">
      <alignment horizontal="center" vertical="center"/>
    </xf>
    <xf numFmtId="0" fontId="6" fillId="2" borderId="4" xfId="1" applyFont="1" applyFill="1" applyBorder="1" applyAlignment="1">
      <alignment horizontal="center" vertical="center"/>
    </xf>
    <xf numFmtId="0" fontId="6" fillId="2" borderId="9" xfId="1" applyFont="1" applyFill="1" applyBorder="1" applyAlignment="1">
      <alignment horizontal="center" vertical="center"/>
    </xf>
    <xf numFmtId="0" fontId="10" fillId="0" borderId="23" xfId="1" applyFont="1" applyBorder="1" applyAlignment="1">
      <alignment horizontal="center" vertical="top"/>
    </xf>
    <xf numFmtId="0" fontId="10" fillId="0" borderId="1" xfId="1" applyFont="1" applyBorder="1" applyAlignment="1">
      <alignment horizontal="center" vertical="top"/>
    </xf>
    <xf numFmtId="0" fontId="10" fillId="0" borderId="32" xfId="1" applyFont="1" applyBorder="1" applyAlignment="1">
      <alignment horizontal="center" vertical="top"/>
    </xf>
    <xf numFmtId="0" fontId="10" fillId="0" borderId="36" xfId="1" applyFont="1" applyBorder="1" applyAlignment="1">
      <alignment horizontal="center" vertical="top"/>
    </xf>
    <xf numFmtId="0" fontId="10" fillId="0" borderId="30" xfId="1" applyFont="1" applyBorder="1" applyAlignment="1">
      <alignment horizontal="center" vertical="top"/>
    </xf>
    <xf numFmtId="0" fontId="10" fillId="0" borderId="31" xfId="1" applyFont="1" applyBorder="1" applyAlignment="1">
      <alignment horizontal="center" vertical="top"/>
    </xf>
    <xf numFmtId="2" fontId="10" fillId="0" borderId="35" xfId="1" applyNumberFormat="1" applyFont="1" applyBorder="1" applyAlignment="1">
      <alignment horizontal="center" vertical="top"/>
    </xf>
    <xf numFmtId="0" fontId="10" fillId="0" borderId="33" xfId="1" applyFont="1" applyBorder="1" applyAlignment="1">
      <alignment horizontal="center" vertical="top"/>
    </xf>
    <xf numFmtId="0" fontId="10" fillId="0" borderId="34" xfId="1" applyFont="1" applyBorder="1" applyAlignment="1">
      <alignment horizontal="center" vertical="top"/>
    </xf>
    <xf numFmtId="2" fontId="10" fillId="0" borderId="23" xfId="1" applyNumberFormat="1" applyFont="1" applyBorder="1" applyAlignment="1">
      <alignment horizontal="center" vertical="top"/>
    </xf>
    <xf numFmtId="0" fontId="25" fillId="14" borderId="42" xfId="1" applyFont="1" applyFill="1" applyBorder="1" applyAlignment="1">
      <alignment horizontal="center" vertical="center"/>
    </xf>
    <xf numFmtId="0" fontId="25" fillId="14" borderId="0" xfId="1" applyFont="1" applyFill="1" applyBorder="1" applyAlignment="1">
      <alignment horizontal="center" vertical="center"/>
    </xf>
    <xf numFmtId="0" fontId="19" fillId="21" borderId="1" xfId="0" applyFont="1" applyFill="1" applyBorder="1" applyAlignment="1">
      <alignment horizontal="center"/>
    </xf>
    <xf numFmtId="0" fontId="19" fillId="21" borderId="1" xfId="0" applyFont="1" applyFill="1" applyBorder="1" applyAlignment="1">
      <alignment horizontal="center" vertical="center"/>
    </xf>
    <xf numFmtId="0" fontId="0" fillId="0" borderId="0" xfId="0" applyAlignment="1">
      <alignment horizontal="center"/>
    </xf>
    <xf numFmtId="0" fontId="16" fillId="0" borderId="0" xfId="1" applyFont="1" applyAlignment="1">
      <alignment horizontal="center" vertical="center"/>
    </xf>
    <xf numFmtId="0" fontId="0" fillId="0" borderId="42" xfId="0" applyBorder="1" applyAlignment="1">
      <alignment horizontal="center"/>
    </xf>
    <xf numFmtId="0" fontId="0" fillId="0" borderId="43" xfId="1" applyFont="1" applyBorder="1" applyAlignment="1">
      <alignment horizontal="center"/>
    </xf>
    <xf numFmtId="0" fontId="16" fillId="0" borderId="0" xfId="1" applyFont="1" applyAlignment="1">
      <alignment horizontal="center"/>
    </xf>
    <xf numFmtId="0" fontId="9" fillId="23" borderId="22" xfId="3" applyFont="1" applyFill="1" applyBorder="1" applyAlignment="1">
      <alignment horizontal="center" vertical="center"/>
    </xf>
    <xf numFmtId="0" fontId="9" fillId="23" borderId="23" xfId="3" applyFont="1" applyFill="1" applyBorder="1" applyAlignment="1">
      <alignment horizontal="center" vertical="center"/>
    </xf>
    <xf numFmtId="0" fontId="17" fillId="15" borderId="22" xfId="4" applyFont="1" applyFill="1" applyBorder="1" applyAlignment="1">
      <alignment horizontal="center" vertical="center"/>
    </xf>
    <xf numFmtId="0" fontId="17" fillId="15" borderId="26" xfId="4" applyFont="1" applyFill="1" applyBorder="1" applyAlignment="1">
      <alignment horizontal="center" vertical="center"/>
    </xf>
    <xf numFmtId="0" fontId="17" fillId="15" borderId="23" xfId="4" applyFont="1" applyFill="1" applyBorder="1" applyAlignment="1">
      <alignment horizontal="center" vertical="center"/>
    </xf>
    <xf numFmtId="0" fontId="19" fillId="11" borderId="28" xfId="0" applyFont="1" applyFill="1" applyBorder="1" applyAlignment="1">
      <alignment horizontal="center" wrapText="1"/>
    </xf>
    <xf numFmtId="0" fontId="19" fillId="11" borderId="29" xfId="0" applyFont="1" applyFill="1" applyBorder="1" applyAlignment="1">
      <alignment horizontal="center" wrapText="1"/>
    </xf>
    <xf numFmtId="0" fontId="19" fillId="11" borderId="22" xfId="0" applyFont="1" applyFill="1" applyBorder="1" applyAlignment="1">
      <alignment horizontal="center"/>
    </xf>
    <xf numFmtId="0" fontId="19" fillId="11" borderId="23" xfId="0" applyFont="1" applyFill="1" applyBorder="1" applyAlignment="1">
      <alignment horizontal="center"/>
    </xf>
    <xf numFmtId="0" fontId="17" fillId="8" borderId="1" xfId="4" applyFont="1" applyFill="1" applyBorder="1" applyAlignment="1">
      <alignment horizontal="center"/>
    </xf>
    <xf numFmtId="9" fontId="0" fillId="0" borderId="1" xfId="0" applyNumberFormat="1" applyBorder="1" applyAlignment="1">
      <alignment horizontal="center"/>
    </xf>
    <xf numFmtId="0" fontId="19" fillId="9" borderId="44" xfId="0" applyFont="1" applyFill="1" applyBorder="1" applyAlignment="1">
      <alignment horizontal="center"/>
    </xf>
    <xf numFmtId="9" fontId="19" fillId="9" borderId="44" xfId="0" applyNumberFormat="1" applyFont="1" applyFill="1" applyBorder="1" applyAlignment="1">
      <alignment horizontal="center"/>
    </xf>
    <xf numFmtId="0" fontId="0" fillId="0" borderId="0" xfId="0" applyBorder="1" applyAlignment="1">
      <alignment horizontal="center"/>
    </xf>
    <xf numFmtId="0" fontId="10" fillId="26" borderId="1" xfId="4" applyFont="1" applyFill="1" applyBorder="1" applyAlignment="1">
      <alignment horizontal="center"/>
    </xf>
    <xf numFmtId="0" fontId="5" fillId="9" borderId="44" xfId="4" applyFont="1" applyFill="1" applyBorder="1" applyAlignment="1">
      <alignment horizontal="center"/>
    </xf>
  </cellXfs>
  <cellStyles count="12">
    <cellStyle name="Comma 2" xfId="5" xr:uid="{00000000-0005-0000-0000-000000000000}"/>
    <cellStyle name="Currency 2" xfId="2" xr:uid="{00000000-0005-0000-0000-000001000000}"/>
    <cellStyle name="Currency 2 2" xfId="6" xr:uid="{00000000-0005-0000-0000-000002000000}"/>
    <cellStyle name="Currency 3" xfId="9" xr:uid="{00000000-0005-0000-0000-000003000000}"/>
    <cellStyle name="GreyOrWhite" xfId="7" xr:uid="{00000000-0005-0000-0000-000004000000}"/>
    <cellStyle name="Hyperlink" xfId="11" builtinId="8"/>
    <cellStyle name="Normal" xfId="0" builtinId="0"/>
    <cellStyle name="Normal 2" xfId="1" xr:uid="{00000000-0005-0000-0000-000006000000}"/>
    <cellStyle name="Normal 2 2" xfId="4" xr:uid="{00000000-0005-0000-0000-000007000000}"/>
    <cellStyle name="Normal 3" xfId="3" xr:uid="{00000000-0005-0000-0000-000008000000}"/>
    <cellStyle name="Normal 4" xfId="10" xr:uid="{00000000-0005-0000-0000-000009000000}"/>
    <cellStyle name="Yellow" xfId="8" xr:uid="{00000000-0005-0000-0000-00000A000000}"/>
  </cellStyles>
  <dxfs count="19">
    <dxf>
      <numFmt numFmtId="173" formatCode="#,##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ont>
        <color theme="0"/>
      </font>
      <fill>
        <patternFill>
          <bgColor rgb="FFFF0000"/>
        </patternFill>
      </fill>
    </dxf>
    <dxf>
      <font>
        <color theme="1"/>
      </font>
      <fill>
        <patternFill>
          <bgColor rgb="FF00B0F0"/>
        </patternFill>
      </fill>
    </dxf>
    <dxf>
      <font>
        <color rgb="FFFF0000"/>
      </font>
      <fill>
        <patternFill>
          <bgColor rgb="FF00B050"/>
        </patternFill>
      </fill>
    </dxf>
    <dxf>
      <font>
        <color theme="0"/>
      </font>
      <fill>
        <patternFill>
          <bgColor rgb="FFFF0000"/>
        </patternFill>
      </fill>
    </dxf>
    <dxf>
      <font>
        <color rgb="FF00B050"/>
      </font>
    </dxf>
    <dxf>
      <font>
        <color rgb="FFFF0000"/>
      </font>
    </dxf>
  </dxfs>
  <tableStyles count="1" defaultTableStyle="TableStyleMedium9" defaultPivotStyle="PivotStyleLight16">
    <tableStyle name="PivotTable Style 1" table="0" count="0" xr9:uid="{77FD7AD7-C0C7-4C08-80E3-5EA35DADA731}"/>
  </tableStyles>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47" Type="http://schemas.microsoft.com/office/2007/relationships/slicerCache" Target="slicerCaches/slicerCache4.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7/relationships/slicerCache" Target="slicerCaches/slicerCache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1.xml"/><Relationship Id="rId52"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7/relationships/slicerCache" Target="slicerCaches/slicerCache3.xml"/><Relationship Id="rId20" Type="http://schemas.openxmlformats.org/officeDocument/2006/relationships/worksheet" Target="worksheets/sheet20.xml"/><Relationship Id="rId41" Type="http://schemas.openxmlformats.org/officeDocument/2006/relationships/pivotCacheDefinition" Target="pivotCache/pivotCacheDefinition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'Multiple Criteria Totals'!$J$9:$J$571</c:f>
              <c:numCache>
                <c:formatCode>General</c:formatCode>
                <c:ptCount val="5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numCache>
            </c:numRef>
          </c:xVal>
          <c:yVal>
            <c:numRef>
              <c:f>'Multiple Criteria Totals'!$K$9:$K$571</c:f>
              <c:numCache>
                <c:formatCode>General</c:formatCode>
                <c:ptCount val="563"/>
                <c:pt idx="0">
                  <c:v>1</c:v>
                </c:pt>
                <c:pt idx="1">
                  <c:v>4</c:v>
                </c:pt>
                <c:pt idx="2">
                  <c:v>9</c:v>
                </c:pt>
                <c:pt idx="3">
                  <c:v>16</c:v>
                </c:pt>
                <c:pt idx="4">
                  <c:v>25</c:v>
                </c:pt>
                <c:pt idx="5">
                  <c:v>36</c:v>
                </c:pt>
                <c:pt idx="6">
                  <c:v>49</c:v>
                </c:pt>
                <c:pt idx="7">
                  <c:v>64</c:v>
                </c:pt>
                <c:pt idx="8">
                  <c:v>81</c:v>
                </c:pt>
                <c:pt idx="9">
                  <c:v>100</c:v>
                </c:pt>
                <c:pt idx="10">
                  <c:v>121</c:v>
                </c:pt>
                <c:pt idx="11">
                  <c:v>144</c:v>
                </c:pt>
                <c:pt idx="12">
                  <c:v>169</c:v>
                </c:pt>
                <c:pt idx="13">
                  <c:v>196</c:v>
                </c:pt>
                <c:pt idx="14">
                  <c:v>225</c:v>
                </c:pt>
                <c:pt idx="15">
                  <c:v>256</c:v>
                </c:pt>
                <c:pt idx="16">
                  <c:v>289</c:v>
                </c:pt>
                <c:pt idx="17">
                  <c:v>324</c:v>
                </c:pt>
                <c:pt idx="18">
                  <c:v>361</c:v>
                </c:pt>
                <c:pt idx="19">
                  <c:v>400</c:v>
                </c:pt>
                <c:pt idx="20">
                  <c:v>441</c:v>
                </c:pt>
                <c:pt idx="21">
                  <c:v>484</c:v>
                </c:pt>
                <c:pt idx="22">
                  <c:v>529</c:v>
                </c:pt>
                <c:pt idx="23">
                  <c:v>576</c:v>
                </c:pt>
                <c:pt idx="24">
                  <c:v>625</c:v>
                </c:pt>
                <c:pt idx="25">
                  <c:v>676</c:v>
                </c:pt>
                <c:pt idx="26">
                  <c:v>729</c:v>
                </c:pt>
                <c:pt idx="27">
                  <c:v>784</c:v>
                </c:pt>
                <c:pt idx="28">
                  <c:v>841</c:v>
                </c:pt>
                <c:pt idx="29">
                  <c:v>900</c:v>
                </c:pt>
                <c:pt idx="30">
                  <c:v>961</c:v>
                </c:pt>
                <c:pt idx="31">
                  <c:v>1024</c:v>
                </c:pt>
                <c:pt idx="32">
                  <c:v>1089</c:v>
                </c:pt>
                <c:pt idx="33">
                  <c:v>1156</c:v>
                </c:pt>
                <c:pt idx="34">
                  <c:v>1225</c:v>
                </c:pt>
                <c:pt idx="35">
                  <c:v>1296</c:v>
                </c:pt>
                <c:pt idx="36">
                  <c:v>1369</c:v>
                </c:pt>
                <c:pt idx="37">
                  <c:v>1444</c:v>
                </c:pt>
                <c:pt idx="38">
                  <c:v>1521</c:v>
                </c:pt>
                <c:pt idx="39">
                  <c:v>1600</c:v>
                </c:pt>
                <c:pt idx="40">
                  <c:v>1681</c:v>
                </c:pt>
                <c:pt idx="41">
                  <c:v>1764</c:v>
                </c:pt>
                <c:pt idx="42">
                  <c:v>1849</c:v>
                </c:pt>
                <c:pt idx="43">
                  <c:v>1936</c:v>
                </c:pt>
                <c:pt idx="44">
                  <c:v>2025</c:v>
                </c:pt>
                <c:pt idx="45">
                  <c:v>2116</c:v>
                </c:pt>
                <c:pt idx="46">
                  <c:v>2209</c:v>
                </c:pt>
                <c:pt idx="47">
                  <c:v>2304</c:v>
                </c:pt>
                <c:pt idx="48">
                  <c:v>2401</c:v>
                </c:pt>
                <c:pt idx="49">
                  <c:v>2500</c:v>
                </c:pt>
                <c:pt idx="50">
                  <c:v>2601</c:v>
                </c:pt>
                <c:pt idx="51">
                  <c:v>2704</c:v>
                </c:pt>
                <c:pt idx="52">
                  <c:v>2809</c:v>
                </c:pt>
                <c:pt idx="53">
                  <c:v>2916</c:v>
                </c:pt>
                <c:pt idx="54">
                  <c:v>3025</c:v>
                </c:pt>
                <c:pt idx="55">
                  <c:v>3136</c:v>
                </c:pt>
                <c:pt idx="56">
                  <c:v>3249</c:v>
                </c:pt>
                <c:pt idx="57">
                  <c:v>3364</c:v>
                </c:pt>
                <c:pt idx="58">
                  <c:v>3481</c:v>
                </c:pt>
                <c:pt idx="59">
                  <c:v>3600</c:v>
                </c:pt>
                <c:pt idx="60">
                  <c:v>3721</c:v>
                </c:pt>
                <c:pt idx="61">
                  <c:v>3844</c:v>
                </c:pt>
                <c:pt idx="62">
                  <c:v>3969</c:v>
                </c:pt>
                <c:pt idx="63">
                  <c:v>4096</c:v>
                </c:pt>
                <c:pt idx="64">
                  <c:v>4225</c:v>
                </c:pt>
                <c:pt idx="65">
                  <c:v>4356</c:v>
                </c:pt>
                <c:pt idx="66">
                  <c:v>4489</c:v>
                </c:pt>
                <c:pt idx="67">
                  <c:v>4624</c:v>
                </c:pt>
                <c:pt idx="68">
                  <c:v>4761</c:v>
                </c:pt>
                <c:pt idx="69">
                  <c:v>4900</c:v>
                </c:pt>
                <c:pt idx="70">
                  <c:v>5041</c:v>
                </c:pt>
                <c:pt idx="71">
                  <c:v>5184</c:v>
                </c:pt>
                <c:pt idx="72">
                  <c:v>5329</c:v>
                </c:pt>
                <c:pt idx="73">
                  <c:v>5476</c:v>
                </c:pt>
                <c:pt idx="74">
                  <c:v>5625</c:v>
                </c:pt>
                <c:pt idx="75">
                  <c:v>5776</c:v>
                </c:pt>
                <c:pt idx="76">
                  <c:v>5929</c:v>
                </c:pt>
                <c:pt idx="77">
                  <c:v>6084</c:v>
                </c:pt>
                <c:pt idx="78">
                  <c:v>6241</c:v>
                </c:pt>
                <c:pt idx="79">
                  <c:v>6400</c:v>
                </c:pt>
                <c:pt idx="80">
                  <c:v>6561</c:v>
                </c:pt>
                <c:pt idx="81">
                  <c:v>6724</c:v>
                </c:pt>
                <c:pt idx="82">
                  <c:v>6889</c:v>
                </c:pt>
                <c:pt idx="83">
                  <c:v>7056</c:v>
                </c:pt>
                <c:pt idx="84">
                  <c:v>7225</c:v>
                </c:pt>
                <c:pt idx="85">
                  <c:v>7396</c:v>
                </c:pt>
                <c:pt idx="86">
                  <c:v>7569</c:v>
                </c:pt>
                <c:pt idx="87">
                  <c:v>7744</c:v>
                </c:pt>
                <c:pt idx="88">
                  <c:v>7921</c:v>
                </c:pt>
                <c:pt idx="89">
                  <c:v>8100</c:v>
                </c:pt>
                <c:pt idx="90">
                  <c:v>8281</c:v>
                </c:pt>
                <c:pt idx="91">
                  <c:v>8464</c:v>
                </c:pt>
                <c:pt idx="92">
                  <c:v>8649</c:v>
                </c:pt>
                <c:pt idx="93">
                  <c:v>8836</c:v>
                </c:pt>
                <c:pt idx="94">
                  <c:v>9025</c:v>
                </c:pt>
                <c:pt idx="95">
                  <c:v>9216</c:v>
                </c:pt>
                <c:pt idx="96">
                  <c:v>9409</c:v>
                </c:pt>
                <c:pt idx="97">
                  <c:v>9604</c:v>
                </c:pt>
                <c:pt idx="98">
                  <c:v>9801</c:v>
                </c:pt>
                <c:pt idx="99">
                  <c:v>10000</c:v>
                </c:pt>
                <c:pt idx="100">
                  <c:v>10201</c:v>
                </c:pt>
                <c:pt idx="101">
                  <c:v>10404</c:v>
                </c:pt>
                <c:pt idx="102">
                  <c:v>10609</c:v>
                </c:pt>
                <c:pt idx="103">
                  <c:v>10816</c:v>
                </c:pt>
                <c:pt idx="104">
                  <c:v>11025</c:v>
                </c:pt>
                <c:pt idx="105">
                  <c:v>11236</c:v>
                </c:pt>
                <c:pt idx="106">
                  <c:v>11449</c:v>
                </c:pt>
                <c:pt idx="107">
                  <c:v>11664</c:v>
                </c:pt>
                <c:pt idx="108">
                  <c:v>11881</c:v>
                </c:pt>
                <c:pt idx="109">
                  <c:v>12100</c:v>
                </c:pt>
                <c:pt idx="110">
                  <c:v>12321</c:v>
                </c:pt>
                <c:pt idx="111">
                  <c:v>12544</c:v>
                </c:pt>
                <c:pt idx="112">
                  <c:v>12769</c:v>
                </c:pt>
                <c:pt idx="113">
                  <c:v>12996</c:v>
                </c:pt>
                <c:pt idx="114">
                  <c:v>13225</c:v>
                </c:pt>
                <c:pt idx="115">
                  <c:v>13456</c:v>
                </c:pt>
                <c:pt idx="116">
                  <c:v>13689</c:v>
                </c:pt>
                <c:pt idx="117">
                  <c:v>13924</c:v>
                </c:pt>
                <c:pt idx="118">
                  <c:v>14161</c:v>
                </c:pt>
                <c:pt idx="119">
                  <c:v>14400</c:v>
                </c:pt>
                <c:pt idx="120">
                  <c:v>14641</c:v>
                </c:pt>
                <c:pt idx="121">
                  <c:v>14884</c:v>
                </c:pt>
                <c:pt idx="122">
                  <c:v>15129</c:v>
                </c:pt>
                <c:pt idx="123">
                  <c:v>15376</c:v>
                </c:pt>
                <c:pt idx="124">
                  <c:v>15625</c:v>
                </c:pt>
                <c:pt idx="125">
                  <c:v>15876</c:v>
                </c:pt>
                <c:pt idx="126">
                  <c:v>16129</c:v>
                </c:pt>
                <c:pt idx="127">
                  <c:v>16384</c:v>
                </c:pt>
                <c:pt idx="128">
                  <c:v>16641</c:v>
                </c:pt>
                <c:pt idx="129">
                  <c:v>16900</c:v>
                </c:pt>
                <c:pt idx="130">
                  <c:v>17161</c:v>
                </c:pt>
                <c:pt idx="131">
                  <c:v>17424</c:v>
                </c:pt>
                <c:pt idx="132">
                  <c:v>17689</c:v>
                </c:pt>
                <c:pt idx="133">
                  <c:v>17956</c:v>
                </c:pt>
                <c:pt idx="134">
                  <c:v>18225</c:v>
                </c:pt>
                <c:pt idx="135">
                  <c:v>18496</c:v>
                </c:pt>
                <c:pt idx="136">
                  <c:v>18769</c:v>
                </c:pt>
                <c:pt idx="137">
                  <c:v>19044</c:v>
                </c:pt>
                <c:pt idx="138">
                  <c:v>19321</c:v>
                </c:pt>
                <c:pt idx="139">
                  <c:v>19600</c:v>
                </c:pt>
                <c:pt idx="140">
                  <c:v>19881</c:v>
                </c:pt>
                <c:pt idx="141">
                  <c:v>20164</c:v>
                </c:pt>
                <c:pt idx="142">
                  <c:v>20449</c:v>
                </c:pt>
                <c:pt idx="143">
                  <c:v>20736</c:v>
                </c:pt>
                <c:pt idx="144">
                  <c:v>21025</c:v>
                </c:pt>
                <c:pt idx="145">
                  <c:v>21316</c:v>
                </c:pt>
                <c:pt idx="146">
                  <c:v>21609</c:v>
                </c:pt>
                <c:pt idx="147">
                  <c:v>21904</c:v>
                </c:pt>
                <c:pt idx="148">
                  <c:v>22201</c:v>
                </c:pt>
                <c:pt idx="149">
                  <c:v>22500</c:v>
                </c:pt>
                <c:pt idx="150">
                  <c:v>22801</c:v>
                </c:pt>
                <c:pt idx="151">
                  <c:v>23104</c:v>
                </c:pt>
                <c:pt idx="152">
                  <c:v>23409</c:v>
                </c:pt>
                <c:pt idx="153">
                  <c:v>23716</c:v>
                </c:pt>
                <c:pt idx="154">
                  <c:v>24025</c:v>
                </c:pt>
                <c:pt idx="155">
                  <c:v>24336</c:v>
                </c:pt>
                <c:pt idx="156">
                  <c:v>24649</c:v>
                </c:pt>
                <c:pt idx="157">
                  <c:v>24964</c:v>
                </c:pt>
                <c:pt idx="158">
                  <c:v>25281</c:v>
                </c:pt>
                <c:pt idx="159">
                  <c:v>25600</c:v>
                </c:pt>
                <c:pt idx="160">
                  <c:v>25921</c:v>
                </c:pt>
                <c:pt idx="161">
                  <c:v>26244</c:v>
                </c:pt>
                <c:pt idx="162">
                  <c:v>26569</c:v>
                </c:pt>
                <c:pt idx="163">
                  <c:v>26896</c:v>
                </c:pt>
                <c:pt idx="164">
                  <c:v>27225</c:v>
                </c:pt>
                <c:pt idx="165">
                  <c:v>27556</c:v>
                </c:pt>
                <c:pt idx="166">
                  <c:v>27889</c:v>
                </c:pt>
                <c:pt idx="167">
                  <c:v>28224</c:v>
                </c:pt>
                <c:pt idx="168">
                  <c:v>28561</c:v>
                </c:pt>
                <c:pt idx="169">
                  <c:v>28900</c:v>
                </c:pt>
                <c:pt idx="170">
                  <c:v>29241</c:v>
                </c:pt>
                <c:pt idx="171">
                  <c:v>29584</c:v>
                </c:pt>
                <c:pt idx="172">
                  <c:v>29929</c:v>
                </c:pt>
                <c:pt idx="173">
                  <c:v>30276</c:v>
                </c:pt>
                <c:pt idx="174">
                  <c:v>30625</c:v>
                </c:pt>
                <c:pt idx="175">
                  <c:v>30976</c:v>
                </c:pt>
                <c:pt idx="176">
                  <c:v>31329</c:v>
                </c:pt>
                <c:pt idx="177">
                  <c:v>31684</c:v>
                </c:pt>
                <c:pt idx="178">
                  <c:v>32041</c:v>
                </c:pt>
                <c:pt idx="179">
                  <c:v>32400</c:v>
                </c:pt>
                <c:pt idx="180">
                  <c:v>32761</c:v>
                </c:pt>
                <c:pt idx="181">
                  <c:v>33124</c:v>
                </c:pt>
                <c:pt idx="182">
                  <c:v>33489</c:v>
                </c:pt>
                <c:pt idx="183">
                  <c:v>33856</c:v>
                </c:pt>
                <c:pt idx="184">
                  <c:v>34225</c:v>
                </c:pt>
                <c:pt idx="185">
                  <c:v>34596</c:v>
                </c:pt>
                <c:pt idx="186">
                  <c:v>34969</c:v>
                </c:pt>
                <c:pt idx="187">
                  <c:v>35344</c:v>
                </c:pt>
                <c:pt idx="188">
                  <c:v>35721</c:v>
                </c:pt>
                <c:pt idx="189">
                  <c:v>36100</c:v>
                </c:pt>
                <c:pt idx="190">
                  <c:v>36481</c:v>
                </c:pt>
                <c:pt idx="191">
                  <c:v>36864</c:v>
                </c:pt>
                <c:pt idx="192">
                  <c:v>37249</c:v>
                </c:pt>
                <c:pt idx="193">
                  <c:v>37636</c:v>
                </c:pt>
                <c:pt idx="194">
                  <c:v>38025</c:v>
                </c:pt>
                <c:pt idx="195">
                  <c:v>38416</c:v>
                </c:pt>
                <c:pt idx="196">
                  <c:v>38809</c:v>
                </c:pt>
                <c:pt idx="197">
                  <c:v>39204</c:v>
                </c:pt>
                <c:pt idx="198">
                  <c:v>39601</c:v>
                </c:pt>
                <c:pt idx="199">
                  <c:v>40000</c:v>
                </c:pt>
                <c:pt idx="200">
                  <c:v>40401</c:v>
                </c:pt>
                <c:pt idx="201">
                  <c:v>40804</c:v>
                </c:pt>
                <c:pt idx="202">
                  <c:v>41209</c:v>
                </c:pt>
                <c:pt idx="203">
                  <c:v>41616</c:v>
                </c:pt>
                <c:pt idx="204">
                  <c:v>42025</c:v>
                </c:pt>
                <c:pt idx="205">
                  <c:v>42436</c:v>
                </c:pt>
                <c:pt idx="206">
                  <c:v>42849</c:v>
                </c:pt>
                <c:pt idx="207">
                  <c:v>43264</c:v>
                </c:pt>
                <c:pt idx="208">
                  <c:v>43681</c:v>
                </c:pt>
                <c:pt idx="209">
                  <c:v>44100</c:v>
                </c:pt>
                <c:pt idx="210">
                  <c:v>44521</c:v>
                </c:pt>
                <c:pt idx="211">
                  <c:v>44944</c:v>
                </c:pt>
                <c:pt idx="212">
                  <c:v>45369</c:v>
                </c:pt>
                <c:pt idx="213">
                  <c:v>45796</c:v>
                </c:pt>
                <c:pt idx="214">
                  <c:v>46225</c:v>
                </c:pt>
                <c:pt idx="215">
                  <c:v>46656</c:v>
                </c:pt>
                <c:pt idx="216">
                  <c:v>47089</c:v>
                </c:pt>
                <c:pt idx="217">
                  <c:v>47524</c:v>
                </c:pt>
                <c:pt idx="218">
                  <c:v>47961</c:v>
                </c:pt>
                <c:pt idx="219">
                  <c:v>48400</c:v>
                </c:pt>
                <c:pt idx="220">
                  <c:v>48841</c:v>
                </c:pt>
                <c:pt idx="221">
                  <c:v>49284</c:v>
                </c:pt>
                <c:pt idx="222">
                  <c:v>49729</c:v>
                </c:pt>
                <c:pt idx="223">
                  <c:v>50176</c:v>
                </c:pt>
                <c:pt idx="224">
                  <c:v>50625</c:v>
                </c:pt>
                <c:pt idx="225">
                  <c:v>51076</c:v>
                </c:pt>
                <c:pt idx="226">
                  <c:v>51529</c:v>
                </c:pt>
                <c:pt idx="227">
                  <c:v>51984</c:v>
                </c:pt>
                <c:pt idx="228">
                  <c:v>52441</c:v>
                </c:pt>
                <c:pt idx="229">
                  <c:v>52900</c:v>
                </c:pt>
                <c:pt idx="230">
                  <c:v>53361</c:v>
                </c:pt>
                <c:pt idx="231">
                  <c:v>53824</c:v>
                </c:pt>
                <c:pt idx="232">
                  <c:v>54289</c:v>
                </c:pt>
                <c:pt idx="233">
                  <c:v>54756</c:v>
                </c:pt>
                <c:pt idx="234">
                  <c:v>55225</c:v>
                </c:pt>
                <c:pt idx="235">
                  <c:v>55696</c:v>
                </c:pt>
                <c:pt idx="236">
                  <c:v>56169</c:v>
                </c:pt>
                <c:pt idx="237">
                  <c:v>56644</c:v>
                </c:pt>
                <c:pt idx="238">
                  <c:v>57121</c:v>
                </c:pt>
                <c:pt idx="239">
                  <c:v>57600</c:v>
                </c:pt>
                <c:pt idx="240">
                  <c:v>58081</c:v>
                </c:pt>
                <c:pt idx="241">
                  <c:v>58564</c:v>
                </c:pt>
                <c:pt idx="242">
                  <c:v>59049</c:v>
                </c:pt>
                <c:pt idx="243">
                  <c:v>59536</c:v>
                </c:pt>
                <c:pt idx="244">
                  <c:v>60025</c:v>
                </c:pt>
                <c:pt idx="245">
                  <c:v>60516</c:v>
                </c:pt>
                <c:pt idx="246">
                  <c:v>61009</c:v>
                </c:pt>
                <c:pt idx="247">
                  <c:v>61504</c:v>
                </c:pt>
                <c:pt idx="248">
                  <c:v>62001</c:v>
                </c:pt>
                <c:pt idx="249">
                  <c:v>62500</c:v>
                </c:pt>
                <c:pt idx="250">
                  <c:v>63001</c:v>
                </c:pt>
                <c:pt idx="251">
                  <c:v>63504</c:v>
                </c:pt>
                <c:pt idx="252">
                  <c:v>64009</c:v>
                </c:pt>
                <c:pt idx="253">
                  <c:v>64516</c:v>
                </c:pt>
                <c:pt idx="254">
                  <c:v>65025</c:v>
                </c:pt>
                <c:pt idx="255">
                  <c:v>65536</c:v>
                </c:pt>
                <c:pt idx="256">
                  <c:v>66049</c:v>
                </c:pt>
                <c:pt idx="257">
                  <c:v>66564</c:v>
                </c:pt>
                <c:pt idx="258">
                  <c:v>67081</c:v>
                </c:pt>
                <c:pt idx="259">
                  <c:v>67600</c:v>
                </c:pt>
                <c:pt idx="260">
                  <c:v>68121</c:v>
                </c:pt>
                <c:pt idx="261">
                  <c:v>68644</c:v>
                </c:pt>
                <c:pt idx="262">
                  <c:v>69169</c:v>
                </c:pt>
                <c:pt idx="263">
                  <c:v>69696</c:v>
                </c:pt>
                <c:pt idx="264">
                  <c:v>70225</c:v>
                </c:pt>
                <c:pt idx="265">
                  <c:v>70756</c:v>
                </c:pt>
                <c:pt idx="266">
                  <c:v>71289</c:v>
                </c:pt>
                <c:pt idx="267">
                  <c:v>71824</c:v>
                </c:pt>
                <c:pt idx="268">
                  <c:v>72361</c:v>
                </c:pt>
                <c:pt idx="269">
                  <c:v>72900</c:v>
                </c:pt>
                <c:pt idx="270">
                  <c:v>73441</c:v>
                </c:pt>
                <c:pt idx="271">
                  <c:v>73984</c:v>
                </c:pt>
                <c:pt idx="272">
                  <c:v>74529</c:v>
                </c:pt>
                <c:pt idx="273">
                  <c:v>75076</c:v>
                </c:pt>
                <c:pt idx="274">
                  <c:v>75625</c:v>
                </c:pt>
                <c:pt idx="275">
                  <c:v>76176</c:v>
                </c:pt>
                <c:pt idx="276">
                  <c:v>76729</c:v>
                </c:pt>
                <c:pt idx="277">
                  <c:v>77284</c:v>
                </c:pt>
                <c:pt idx="278">
                  <c:v>77841</c:v>
                </c:pt>
                <c:pt idx="279">
                  <c:v>78400</c:v>
                </c:pt>
                <c:pt idx="280">
                  <c:v>78961</c:v>
                </c:pt>
                <c:pt idx="281">
                  <c:v>79524</c:v>
                </c:pt>
                <c:pt idx="282">
                  <c:v>80089</c:v>
                </c:pt>
                <c:pt idx="283">
                  <c:v>80656</c:v>
                </c:pt>
                <c:pt idx="284">
                  <c:v>81225</c:v>
                </c:pt>
                <c:pt idx="285">
                  <c:v>81796</c:v>
                </c:pt>
                <c:pt idx="286">
                  <c:v>82369</c:v>
                </c:pt>
                <c:pt idx="287">
                  <c:v>82944</c:v>
                </c:pt>
                <c:pt idx="288">
                  <c:v>83521</c:v>
                </c:pt>
                <c:pt idx="289">
                  <c:v>84100</c:v>
                </c:pt>
                <c:pt idx="290">
                  <c:v>84681</c:v>
                </c:pt>
                <c:pt idx="291">
                  <c:v>85264</c:v>
                </c:pt>
                <c:pt idx="292">
                  <c:v>85849</c:v>
                </c:pt>
                <c:pt idx="293">
                  <c:v>86436</c:v>
                </c:pt>
                <c:pt idx="294">
                  <c:v>87025</c:v>
                </c:pt>
                <c:pt idx="295">
                  <c:v>87616</c:v>
                </c:pt>
                <c:pt idx="296">
                  <c:v>88209</c:v>
                </c:pt>
                <c:pt idx="297">
                  <c:v>88804</c:v>
                </c:pt>
                <c:pt idx="298">
                  <c:v>89401</c:v>
                </c:pt>
                <c:pt idx="299">
                  <c:v>90000</c:v>
                </c:pt>
                <c:pt idx="300">
                  <c:v>90601</c:v>
                </c:pt>
                <c:pt idx="301">
                  <c:v>91204</c:v>
                </c:pt>
                <c:pt idx="302">
                  <c:v>91809</c:v>
                </c:pt>
                <c:pt idx="303">
                  <c:v>92416</c:v>
                </c:pt>
                <c:pt idx="304">
                  <c:v>93025</c:v>
                </c:pt>
                <c:pt idx="305">
                  <c:v>93636</c:v>
                </c:pt>
                <c:pt idx="306">
                  <c:v>94249</c:v>
                </c:pt>
                <c:pt idx="307">
                  <c:v>94864</c:v>
                </c:pt>
                <c:pt idx="308">
                  <c:v>95481</c:v>
                </c:pt>
                <c:pt idx="309">
                  <c:v>96100</c:v>
                </c:pt>
                <c:pt idx="310">
                  <c:v>96721</c:v>
                </c:pt>
                <c:pt idx="311">
                  <c:v>97344</c:v>
                </c:pt>
                <c:pt idx="312">
                  <c:v>97969</c:v>
                </c:pt>
                <c:pt idx="313">
                  <c:v>98596</c:v>
                </c:pt>
                <c:pt idx="314">
                  <c:v>99225</c:v>
                </c:pt>
                <c:pt idx="315">
                  <c:v>99856</c:v>
                </c:pt>
                <c:pt idx="316">
                  <c:v>100489</c:v>
                </c:pt>
                <c:pt idx="317">
                  <c:v>101124</c:v>
                </c:pt>
                <c:pt idx="318">
                  <c:v>101761</c:v>
                </c:pt>
                <c:pt idx="319">
                  <c:v>102400</c:v>
                </c:pt>
                <c:pt idx="320">
                  <c:v>103041</c:v>
                </c:pt>
                <c:pt idx="321">
                  <c:v>103684</c:v>
                </c:pt>
                <c:pt idx="322">
                  <c:v>104329</c:v>
                </c:pt>
                <c:pt idx="323">
                  <c:v>104976</c:v>
                </c:pt>
                <c:pt idx="324">
                  <c:v>105625</c:v>
                </c:pt>
                <c:pt idx="325">
                  <c:v>106276</c:v>
                </c:pt>
                <c:pt idx="326">
                  <c:v>106929</c:v>
                </c:pt>
                <c:pt idx="327">
                  <c:v>107584</c:v>
                </c:pt>
                <c:pt idx="328">
                  <c:v>108241</c:v>
                </c:pt>
                <c:pt idx="329">
                  <c:v>108900</c:v>
                </c:pt>
                <c:pt idx="330">
                  <c:v>109561</c:v>
                </c:pt>
                <c:pt idx="331">
                  <c:v>110224</c:v>
                </c:pt>
                <c:pt idx="332">
                  <c:v>110889</c:v>
                </c:pt>
                <c:pt idx="333">
                  <c:v>111556</c:v>
                </c:pt>
                <c:pt idx="334">
                  <c:v>112225</c:v>
                </c:pt>
                <c:pt idx="335">
                  <c:v>112896</c:v>
                </c:pt>
                <c:pt idx="336">
                  <c:v>113569</c:v>
                </c:pt>
                <c:pt idx="337">
                  <c:v>114244</c:v>
                </c:pt>
                <c:pt idx="338">
                  <c:v>114921</c:v>
                </c:pt>
                <c:pt idx="339">
                  <c:v>115600</c:v>
                </c:pt>
                <c:pt idx="340">
                  <c:v>116281</c:v>
                </c:pt>
                <c:pt idx="341">
                  <c:v>116964</c:v>
                </c:pt>
                <c:pt idx="342">
                  <c:v>117649</c:v>
                </c:pt>
                <c:pt idx="343">
                  <c:v>118336</c:v>
                </c:pt>
                <c:pt idx="344">
                  <c:v>119025</c:v>
                </c:pt>
                <c:pt idx="345">
                  <c:v>119716</c:v>
                </c:pt>
                <c:pt idx="346">
                  <c:v>120409</c:v>
                </c:pt>
                <c:pt idx="347">
                  <c:v>121104</c:v>
                </c:pt>
                <c:pt idx="348">
                  <c:v>121801</c:v>
                </c:pt>
                <c:pt idx="349">
                  <c:v>122500</c:v>
                </c:pt>
                <c:pt idx="350">
                  <c:v>123201</c:v>
                </c:pt>
                <c:pt idx="351">
                  <c:v>123904</c:v>
                </c:pt>
                <c:pt idx="352">
                  <c:v>124609</c:v>
                </c:pt>
                <c:pt idx="353">
                  <c:v>125316</c:v>
                </c:pt>
                <c:pt idx="354">
                  <c:v>126025</c:v>
                </c:pt>
                <c:pt idx="355">
                  <c:v>126736</c:v>
                </c:pt>
                <c:pt idx="356">
                  <c:v>127449</c:v>
                </c:pt>
                <c:pt idx="357">
                  <c:v>128164</c:v>
                </c:pt>
                <c:pt idx="358">
                  <c:v>128881</c:v>
                </c:pt>
                <c:pt idx="359">
                  <c:v>129600</c:v>
                </c:pt>
                <c:pt idx="360">
                  <c:v>130321</c:v>
                </c:pt>
                <c:pt idx="361">
                  <c:v>131044</c:v>
                </c:pt>
                <c:pt idx="362">
                  <c:v>131769</c:v>
                </c:pt>
                <c:pt idx="363">
                  <c:v>132496</c:v>
                </c:pt>
                <c:pt idx="364">
                  <c:v>133225</c:v>
                </c:pt>
                <c:pt idx="365">
                  <c:v>133956</c:v>
                </c:pt>
                <c:pt idx="366">
                  <c:v>134689</c:v>
                </c:pt>
                <c:pt idx="367">
                  <c:v>135424</c:v>
                </c:pt>
                <c:pt idx="368">
                  <c:v>136161</c:v>
                </c:pt>
                <c:pt idx="369">
                  <c:v>136900</c:v>
                </c:pt>
                <c:pt idx="370">
                  <c:v>137641</c:v>
                </c:pt>
                <c:pt idx="371">
                  <c:v>138384</c:v>
                </c:pt>
                <c:pt idx="372">
                  <c:v>139129</c:v>
                </c:pt>
                <c:pt idx="373">
                  <c:v>139876</c:v>
                </c:pt>
                <c:pt idx="374">
                  <c:v>140625</c:v>
                </c:pt>
                <c:pt idx="375">
                  <c:v>141376</c:v>
                </c:pt>
                <c:pt idx="376">
                  <c:v>142129</c:v>
                </c:pt>
                <c:pt idx="377">
                  <c:v>142884</c:v>
                </c:pt>
                <c:pt idx="378">
                  <c:v>143641</c:v>
                </c:pt>
                <c:pt idx="379">
                  <c:v>144400</c:v>
                </c:pt>
                <c:pt idx="380">
                  <c:v>145161</c:v>
                </c:pt>
                <c:pt idx="381">
                  <c:v>145924</c:v>
                </c:pt>
                <c:pt idx="382">
                  <c:v>146689</c:v>
                </c:pt>
                <c:pt idx="383">
                  <c:v>147456</c:v>
                </c:pt>
                <c:pt idx="384">
                  <c:v>148225</c:v>
                </c:pt>
                <c:pt idx="385">
                  <c:v>148996</c:v>
                </c:pt>
                <c:pt idx="386">
                  <c:v>149769</c:v>
                </c:pt>
                <c:pt idx="387">
                  <c:v>150544</c:v>
                </c:pt>
                <c:pt idx="388">
                  <c:v>151321</c:v>
                </c:pt>
                <c:pt idx="389">
                  <c:v>152100</c:v>
                </c:pt>
                <c:pt idx="390">
                  <c:v>152881</c:v>
                </c:pt>
                <c:pt idx="391">
                  <c:v>153664</c:v>
                </c:pt>
                <c:pt idx="392">
                  <c:v>154449</c:v>
                </c:pt>
                <c:pt idx="393">
                  <c:v>155236</c:v>
                </c:pt>
                <c:pt idx="394">
                  <c:v>156025</c:v>
                </c:pt>
                <c:pt idx="395">
                  <c:v>156816</c:v>
                </c:pt>
                <c:pt idx="396">
                  <c:v>157609</c:v>
                </c:pt>
                <c:pt idx="397">
                  <c:v>158404</c:v>
                </c:pt>
                <c:pt idx="398">
                  <c:v>159201</c:v>
                </c:pt>
                <c:pt idx="399">
                  <c:v>160000</c:v>
                </c:pt>
                <c:pt idx="400">
                  <c:v>160801</c:v>
                </c:pt>
                <c:pt idx="401">
                  <c:v>161604</c:v>
                </c:pt>
                <c:pt idx="402">
                  <c:v>162409</c:v>
                </c:pt>
                <c:pt idx="403">
                  <c:v>163216</c:v>
                </c:pt>
                <c:pt idx="404">
                  <c:v>164025</c:v>
                </c:pt>
                <c:pt idx="405">
                  <c:v>164836</c:v>
                </c:pt>
                <c:pt idx="406">
                  <c:v>165649</c:v>
                </c:pt>
                <c:pt idx="407">
                  <c:v>166464</c:v>
                </c:pt>
                <c:pt idx="408">
                  <c:v>167281</c:v>
                </c:pt>
                <c:pt idx="409">
                  <c:v>168100</c:v>
                </c:pt>
                <c:pt idx="410">
                  <c:v>168921</c:v>
                </c:pt>
                <c:pt idx="411">
                  <c:v>169744</c:v>
                </c:pt>
                <c:pt idx="412">
                  <c:v>170569</c:v>
                </c:pt>
                <c:pt idx="413">
                  <c:v>171396</c:v>
                </c:pt>
                <c:pt idx="414">
                  <c:v>172225</c:v>
                </c:pt>
                <c:pt idx="415">
                  <c:v>173056</c:v>
                </c:pt>
                <c:pt idx="416">
                  <c:v>173889</c:v>
                </c:pt>
                <c:pt idx="417">
                  <c:v>174724</c:v>
                </c:pt>
                <c:pt idx="418">
                  <c:v>175561</c:v>
                </c:pt>
                <c:pt idx="419">
                  <c:v>176400</c:v>
                </c:pt>
                <c:pt idx="420">
                  <c:v>177241</c:v>
                </c:pt>
                <c:pt idx="421">
                  <c:v>178084</c:v>
                </c:pt>
                <c:pt idx="422">
                  <c:v>178929</c:v>
                </c:pt>
                <c:pt idx="423">
                  <c:v>179776</c:v>
                </c:pt>
                <c:pt idx="424">
                  <c:v>180625</c:v>
                </c:pt>
                <c:pt idx="425">
                  <c:v>181476</c:v>
                </c:pt>
                <c:pt idx="426">
                  <c:v>182329</c:v>
                </c:pt>
                <c:pt idx="427">
                  <c:v>183184</c:v>
                </c:pt>
                <c:pt idx="428">
                  <c:v>184041</c:v>
                </c:pt>
                <c:pt idx="429">
                  <c:v>184900</c:v>
                </c:pt>
                <c:pt idx="430">
                  <c:v>185761</c:v>
                </c:pt>
                <c:pt idx="431">
                  <c:v>186624</c:v>
                </c:pt>
                <c:pt idx="432">
                  <c:v>187489</c:v>
                </c:pt>
                <c:pt idx="433">
                  <c:v>188356</c:v>
                </c:pt>
                <c:pt idx="434">
                  <c:v>189225</c:v>
                </c:pt>
                <c:pt idx="435">
                  <c:v>190096</c:v>
                </c:pt>
                <c:pt idx="436">
                  <c:v>190969</c:v>
                </c:pt>
                <c:pt idx="437">
                  <c:v>191844</c:v>
                </c:pt>
                <c:pt idx="438">
                  <c:v>192721</c:v>
                </c:pt>
                <c:pt idx="439">
                  <c:v>193600</c:v>
                </c:pt>
                <c:pt idx="440">
                  <c:v>194481</c:v>
                </c:pt>
                <c:pt idx="441">
                  <c:v>195364</c:v>
                </c:pt>
                <c:pt idx="442">
                  <c:v>196249</c:v>
                </c:pt>
                <c:pt idx="443">
                  <c:v>197136</c:v>
                </c:pt>
                <c:pt idx="444">
                  <c:v>198025</c:v>
                </c:pt>
                <c:pt idx="445">
                  <c:v>198916</c:v>
                </c:pt>
                <c:pt idx="446">
                  <c:v>199809</c:v>
                </c:pt>
                <c:pt idx="447">
                  <c:v>200704</c:v>
                </c:pt>
                <c:pt idx="448">
                  <c:v>201601</c:v>
                </c:pt>
                <c:pt idx="449">
                  <c:v>202500</c:v>
                </c:pt>
                <c:pt idx="450">
                  <c:v>203401</c:v>
                </c:pt>
                <c:pt idx="451">
                  <c:v>204304</c:v>
                </c:pt>
                <c:pt idx="452">
                  <c:v>205209</c:v>
                </c:pt>
                <c:pt idx="453">
                  <c:v>206116</c:v>
                </c:pt>
                <c:pt idx="454">
                  <c:v>207025</c:v>
                </c:pt>
                <c:pt idx="455">
                  <c:v>207936</c:v>
                </c:pt>
                <c:pt idx="456">
                  <c:v>208849</c:v>
                </c:pt>
                <c:pt idx="457">
                  <c:v>209764</c:v>
                </c:pt>
                <c:pt idx="458">
                  <c:v>210681</c:v>
                </c:pt>
                <c:pt idx="459">
                  <c:v>211600</c:v>
                </c:pt>
                <c:pt idx="460">
                  <c:v>212521</c:v>
                </c:pt>
                <c:pt idx="461">
                  <c:v>213444</c:v>
                </c:pt>
                <c:pt idx="462">
                  <c:v>214369</c:v>
                </c:pt>
                <c:pt idx="463">
                  <c:v>215296</c:v>
                </c:pt>
                <c:pt idx="464">
                  <c:v>216225</c:v>
                </c:pt>
                <c:pt idx="465">
                  <c:v>217156</c:v>
                </c:pt>
                <c:pt idx="466">
                  <c:v>218089</c:v>
                </c:pt>
                <c:pt idx="467">
                  <c:v>219024</c:v>
                </c:pt>
                <c:pt idx="468">
                  <c:v>219961</c:v>
                </c:pt>
                <c:pt idx="469">
                  <c:v>220900</c:v>
                </c:pt>
                <c:pt idx="470">
                  <c:v>221841</c:v>
                </c:pt>
                <c:pt idx="471">
                  <c:v>222784</c:v>
                </c:pt>
                <c:pt idx="472">
                  <c:v>223729</c:v>
                </c:pt>
                <c:pt idx="473">
                  <c:v>224676</c:v>
                </c:pt>
                <c:pt idx="474">
                  <c:v>225625</c:v>
                </c:pt>
                <c:pt idx="475">
                  <c:v>226576</c:v>
                </c:pt>
                <c:pt idx="476">
                  <c:v>227529</c:v>
                </c:pt>
                <c:pt idx="477">
                  <c:v>228484</c:v>
                </c:pt>
                <c:pt idx="478">
                  <c:v>229441</c:v>
                </c:pt>
                <c:pt idx="479">
                  <c:v>230400</c:v>
                </c:pt>
                <c:pt idx="480">
                  <c:v>231361</c:v>
                </c:pt>
                <c:pt idx="481">
                  <c:v>232324</c:v>
                </c:pt>
                <c:pt idx="482">
                  <c:v>233289</c:v>
                </c:pt>
                <c:pt idx="483">
                  <c:v>234256</c:v>
                </c:pt>
                <c:pt idx="484">
                  <c:v>235225</c:v>
                </c:pt>
                <c:pt idx="485">
                  <c:v>236196</c:v>
                </c:pt>
                <c:pt idx="486">
                  <c:v>237169</c:v>
                </c:pt>
                <c:pt idx="487">
                  <c:v>238144</c:v>
                </c:pt>
                <c:pt idx="488">
                  <c:v>239121</c:v>
                </c:pt>
                <c:pt idx="489">
                  <c:v>240100</c:v>
                </c:pt>
                <c:pt idx="490">
                  <c:v>241081</c:v>
                </c:pt>
                <c:pt idx="491">
                  <c:v>242064</c:v>
                </c:pt>
                <c:pt idx="492">
                  <c:v>243049</c:v>
                </c:pt>
                <c:pt idx="493">
                  <c:v>244036</c:v>
                </c:pt>
                <c:pt idx="494">
                  <c:v>245025</c:v>
                </c:pt>
                <c:pt idx="495">
                  <c:v>246016</c:v>
                </c:pt>
                <c:pt idx="496">
                  <c:v>247009</c:v>
                </c:pt>
                <c:pt idx="497">
                  <c:v>248004</c:v>
                </c:pt>
                <c:pt idx="498">
                  <c:v>249001</c:v>
                </c:pt>
                <c:pt idx="499">
                  <c:v>250000</c:v>
                </c:pt>
                <c:pt idx="500">
                  <c:v>251001</c:v>
                </c:pt>
                <c:pt idx="501">
                  <c:v>252004</c:v>
                </c:pt>
                <c:pt idx="502">
                  <c:v>253009</c:v>
                </c:pt>
                <c:pt idx="503">
                  <c:v>254016</c:v>
                </c:pt>
                <c:pt idx="504">
                  <c:v>255025</c:v>
                </c:pt>
                <c:pt idx="505">
                  <c:v>256036</c:v>
                </c:pt>
                <c:pt idx="506">
                  <c:v>257049</c:v>
                </c:pt>
                <c:pt idx="507">
                  <c:v>258064</c:v>
                </c:pt>
                <c:pt idx="508">
                  <c:v>259081</c:v>
                </c:pt>
                <c:pt idx="509">
                  <c:v>260100</c:v>
                </c:pt>
                <c:pt idx="510">
                  <c:v>261121</c:v>
                </c:pt>
                <c:pt idx="511">
                  <c:v>262144</c:v>
                </c:pt>
                <c:pt idx="512">
                  <c:v>263169</c:v>
                </c:pt>
                <c:pt idx="513">
                  <c:v>264196</c:v>
                </c:pt>
                <c:pt idx="514">
                  <c:v>265225</c:v>
                </c:pt>
                <c:pt idx="515">
                  <c:v>266256</c:v>
                </c:pt>
                <c:pt idx="516">
                  <c:v>267289</c:v>
                </c:pt>
                <c:pt idx="517">
                  <c:v>268324</c:v>
                </c:pt>
                <c:pt idx="518">
                  <c:v>269361</c:v>
                </c:pt>
                <c:pt idx="519">
                  <c:v>270400</c:v>
                </c:pt>
                <c:pt idx="520">
                  <c:v>271441</c:v>
                </c:pt>
                <c:pt idx="521">
                  <c:v>272484</c:v>
                </c:pt>
                <c:pt idx="522">
                  <c:v>273529</c:v>
                </c:pt>
                <c:pt idx="523">
                  <c:v>274576</c:v>
                </c:pt>
                <c:pt idx="524">
                  <c:v>275625</c:v>
                </c:pt>
                <c:pt idx="525">
                  <c:v>276676</c:v>
                </c:pt>
                <c:pt idx="526">
                  <c:v>277729</c:v>
                </c:pt>
                <c:pt idx="527">
                  <c:v>278784</c:v>
                </c:pt>
                <c:pt idx="528">
                  <c:v>279841</c:v>
                </c:pt>
                <c:pt idx="529">
                  <c:v>280900</c:v>
                </c:pt>
                <c:pt idx="530">
                  <c:v>281961</c:v>
                </c:pt>
                <c:pt idx="531">
                  <c:v>283024</c:v>
                </c:pt>
                <c:pt idx="532">
                  <c:v>284089</c:v>
                </c:pt>
                <c:pt idx="533">
                  <c:v>285156</c:v>
                </c:pt>
                <c:pt idx="534">
                  <c:v>286225</c:v>
                </c:pt>
                <c:pt idx="535">
                  <c:v>287296</c:v>
                </c:pt>
                <c:pt idx="536">
                  <c:v>288369</c:v>
                </c:pt>
                <c:pt idx="537">
                  <c:v>289444</c:v>
                </c:pt>
                <c:pt idx="538">
                  <c:v>290521</c:v>
                </c:pt>
                <c:pt idx="539">
                  <c:v>291600</c:v>
                </c:pt>
                <c:pt idx="540">
                  <c:v>292681</c:v>
                </c:pt>
                <c:pt idx="541">
                  <c:v>293764</c:v>
                </c:pt>
                <c:pt idx="542">
                  <c:v>294849</c:v>
                </c:pt>
                <c:pt idx="543">
                  <c:v>295936</c:v>
                </c:pt>
                <c:pt idx="544">
                  <c:v>297025</c:v>
                </c:pt>
                <c:pt idx="545">
                  <c:v>298116</c:v>
                </c:pt>
                <c:pt idx="546">
                  <c:v>299209</c:v>
                </c:pt>
                <c:pt idx="547">
                  <c:v>300304</c:v>
                </c:pt>
                <c:pt idx="548">
                  <c:v>301401</c:v>
                </c:pt>
                <c:pt idx="549">
                  <c:v>302500</c:v>
                </c:pt>
                <c:pt idx="550">
                  <c:v>303601</c:v>
                </c:pt>
                <c:pt idx="551">
                  <c:v>304704</c:v>
                </c:pt>
                <c:pt idx="552">
                  <c:v>305809</c:v>
                </c:pt>
                <c:pt idx="553">
                  <c:v>306916</c:v>
                </c:pt>
                <c:pt idx="554">
                  <c:v>308025</c:v>
                </c:pt>
                <c:pt idx="555">
                  <c:v>309136</c:v>
                </c:pt>
                <c:pt idx="556">
                  <c:v>310249</c:v>
                </c:pt>
                <c:pt idx="557">
                  <c:v>311364</c:v>
                </c:pt>
                <c:pt idx="558">
                  <c:v>312481</c:v>
                </c:pt>
                <c:pt idx="559">
                  <c:v>313600</c:v>
                </c:pt>
                <c:pt idx="560">
                  <c:v>314721</c:v>
                </c:pt>
                <c:pt idx="561">
                  <c:v>315844</c:v>
                </c:pt>
                <c:pt idx="562">
                  <c:v>316969</c:v>
                </c:pt>
              </c:numCache>
            </c:numRef>
          </c:yVal>
          <c:smooth val="1"/>
          <c:extLst>
            <c:ext xmlns:c16="http://schemas.microsoft.com/office/drawing/2014/chart" uri="{C3380CC4-5D6E-409C-BE32-E72D297353CC}">
              <c16:uniqueId val="{00000000-E5B6-4E04-AE0C-1D68C97552F8}"/>
            </c:ext>
          </c:extLst>
        </c:ser>
        <c:dLbls>
          <c:showLegendKey val="0"/>
          <c:showVal val="0"/>
          <c:showCatName val="0"/>
          <c:showSerName val="0"/>
          <c:showPercent val="0"/>
          <c:showBubbleSize val="0"/>
        </c:dLbls>
        <c:axId val="1806278303"/>
        <c:axId val="1806279135"/>
      </c:scatterChart>
      <c:valAx>
        <c:axId val="1806278303"/>
        <c:scaling>
          <c:orientation val="minMax"/>
        </c:scaling>
        <c:delete val="0"/>
        <c:axPos val="b"/>
        <c:majorGridlines>
          <c:spPr>
            <a:ln w="9525" cap="flat" cmpd="sng" algn="ctr">
              <a:solidFill>
                <a:schemeClr val="tx1">
                  <a:lumMod val="15000"/>
                  <a:lumOff val="85000"/>
                </a:schemeClr>
              </a:solidFill>
              <a:round/>
            </a:ln>
            <a:effectLst/>
          </c:spPr>
        </c:majorGridlines>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6279135"/>
        <c:crosses val="autoZero"/>
        <c:crossBetween val="midCat"/>
      </c:valAx>
      <c:valAx>
        <c:axId val="1806279135"/>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627830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'Multiple Criteria Totals'!$E$5</c:f>
          <c:strCache>
            <c:ptCount val="1"/>
            <c:pt idx="0">
              <c:v>Revenue for  Central Region</c:v>
            </c:pt>
          </c:strCache>
        </c:strRef>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lotArea>
      <c:layout>
        <c:manualLayout>
          <c:layoutTarget val="inner"/>
          <c:xMode val="edge"/>
          <c:yMode val="edge"/>
          <c:x val="0.12845574971836901"/>
          <c:y val="0.2019272287490011"/>
          <c:w val="0.87154425028163096"/>
          <c:h val="0.63003979333257232"/>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'Multiple Criteria Totals'!$C$2:$E$2</c:f>
              <c:numCache>
                <c:formatCode>#,##0,"K"</c:formatCode>
                <c:ptCount val="3"/>
                <c:pt idx="0">
                  <c:v>163917</c:v>
                </c:pt>
                <c:pt idx="1">
                  <c:v>323216</c:v>
                </c:pt>
                <c:pt idx="2">
                  <c:v>289863</c:v>
                </c:pt>
              </c:numCache>
            </c:numRef>
          </c:val>
          <c:extLst>
            <c:ext xmlns:c16="http://schemas.microsoft.com/office/drawing/2014/chart" uri="{C3380CC4-5D6E-409C-BE32-E72D297353CC}">
              <c16:uniqueId val="{00000000-19CD-4011-875E-28BFC44771AC}"/>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'Multiple Criteria Totals'!$C$3:$E$3</c:f>
              <c:numCache>
                <c:formatCode>#,##0,"K"</c:formatCode>
                <c:ptCount val="3"/>
                <c:pt idx="0">
                  <c:v>341971</c:v>
                </c:pt>
                <c:pt idx="1">
                  <c:v>225676</c:v>
                </c:pt>
                <c:pt idx="2">
                  <c:v>198822</c:v>
                </c:pt>
              </c:numCache>
            </c:numRef>
          </c:val>
          <c:extLst>
            <c:ext xmlns:c16="http://schemas.microsoft.com/office/drawing/2014/chart" uri="{C3380CC4-5D6E-409C-BE32-E72D297353CC}">
              <c16:uniqueId val="{00000001-19CD-4011-875E-28BFC44771AC}"/>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'Multiple Criteria Totals'!$C$4:$E$4</c:f>
              <c:numCache>
                <c:formatCode>#,##0,"K"</c:formatCode>
                <c:ptCount val="3"/>
                <c:pt idx="0">
                  <c:v>369752</c:v>
                </c:pt>
                <c:pt idx="1">
                  <c:v>216246</c:v>
                </c:pt>
                <c:pt idx="2">
                  <c:v>246416</c:v>
                </c:pt>
              </c:numCache>
            </c:numRef>
          </c:val>
          <c:extLst>
            <c:ext xmlns:c16="http://schemas.microsoft.com/office/drawing/2014/chart" uri="{C3380CC4-5D6E-409C-BE32-E72D297353CC}">
              <c16:uniqueId val="{00000002-19CD-4011-875E-28BFC44771AC}"/>
            </c:ext>
          </c:extLst>
        </c:ser>
        <c:ser>
          <c:idx val="3"/>
          <c:order val="3"/>
          <c:spPr>
            <a:solidFill>
              <a:schemeClr val="accent4"/>
            </a:solidFill>
            <a:ln>
              <a:noFill/>
            </a:ln>
            <a:effectLst/>
          </c:spPr>
          <c:invertIfNegative val="0"/>
          <c:val>
            <c:numRef>
              <c:f>'Multiple Criteria Totals'!$E$5</c:f>
              <c:numCache>
                <c:formatCode>General</c:formatCode>
                <c:ptCount val="1"/>
                <c:pt idx="0">
                  <c:v>0</c:v>
                </c:pt>
              </c:numCache>
            </c:numRef>
          </c:val>
          <c:extLst>
            <c:ext xmlns:c16="http://schemas.microsoft.com/office/drawing/2014/chart" uri="{C3380CC4-5D6E-409C-BE32-E72D297353CC}">
              <c16:uniqueId val="{00000003-19CD-4011-875E-28BFC44771AC}"/>
            </c:ext>
          </c:extLst>
        </c:ser>
        <c:dLbls>
          <c:showLegendKey val="0"/>
          <c:showVal val="0"/>
          <c:showCatName val="0"/>
          <c:showSerName val="0"/>
          <c:showPercent val="0"/>
          <c:showBubbleSize val="0"/>
        </c:dLbls>
        <c:gapWidth val="219"/>
        <c:axId val="1966056799"/>
        <c:axId val="1966059711"/>
      </c:barChart>
      <c:catAx>
        <c:axId val="1966056799"/>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966059711"/>
        <c:crosses val="autoZero"/>
        <c:auto val="1"/>
        <c:lblAlgn val="ctr"/>
        <c:lblOffset val="100"/>
        <c:noMultiLvlLbl val="0"/>
      </c:catAx>
      <c:valAx>
        <c:axId val="1966059711"/>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numFmt formatCode="#,##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9660567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574901</xdr:colOff>
      <xdr:row>575</xdr:row>
      <xdr:rowOff>57150</xdr:rowOff>
    </xdr:from>
    <xdr:to>
      <xdr:col>9</xdr:col>
      <xdr:colOff>275544</xdr:colOff>
      <xdr:row>590</xdr:row>
      <xdr:rowOff>44904</xdr:rowOff>
    </xdr:to>
    <xdr:graphicFrame macro="">
      <xdr:nvGraphicFramePr>
        <xdr:cNvPr id="4" name="Chart 3">
          <a:extLst>
            <a:ext uri="{FF2B5EF4-FFF2-40B4-BE49-F238E27FC236}">
              <a16:creationId xmlns:a16="http://schemas.microsoft.com/office/drawing/2014/main" id="{0D4F773A-6C3A-CC6D-579A-895B53AC93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401409</xdr:colOff>
      <xdr:row>18</xdr:row>
      <xdr:rowOff>149678</xdr:rowOff>
    </xdr:from>
    <xdr:to>
      <xdr:col>19</xdr:col>
      <xdr:colOff>166687</xdr:colOff>
      <xdr:row>38</xdr:row>
      <xdr:rowOff>10885</xdr:rowOff>
    </xdr:to>
    <xdr:graphicFrame macro="">
      <xdr:nvGraphicFramePr>
        <xdr:cNvPr id="5" name="Chart 4">
          <a:extLst>
            <a:ext uri="{FF2B5EF4-FFF2-40B4-BE49-F238E27FC236}">
              <a16:creationId xmlns:a16="http://schemas.microsoft.com/office/drawing/2014/main" id="{5ABB32B2-2607-7D0A-108A-0C51FD0571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124240</xdr:colOff>
      <xdr:row>1</xdr:row>
      <xdr:rowOff>0</xdr:rowOff>
    </xdr:from>
    <xdr:to>
      <xdr:col>10</xdr:col>
      <xdr:colOff>662610</xdr:colOff>
      <xdr:row>3</xdr:row>
      <xdr:rowOff>115956</xdr:rowOff>
    </xdr:to>
    <xdr:sp macro="[0]!Macro1" textlink="">
      <xdr:nvSpPr>
        <xdr:cNvPr id="2" name="Rectangle: Rounded Corners 1">
          <a:extLst>
            <a:ext uri="{FF2B5EF4-FFF2-40B4-BE49-F238E27FC236}">
              <a16:creationId xmlns:a16="http://schemas.microsoft.com/office/drawing/2014/main" id="{B5805340-687B-61FE-4245-A730AAD608EB}"/>
            </a:ext>
          </a:extLst>
        </xdr:cNvPr>
        <xdr:cNvSpPr/>
      </xdr:nvSpPr>
      <xdr:spPr>
        <a:xfrm>
          <a:off x="6982240" y="198783"/>
          <a:ext cx="1300370" cy="496956"/>
        </a:xfrm>
        <a:prstGeom prst="roundRect">
          <a:avLst>
            <a:gd name="adj"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bg1"/>
              </a:solidFill>
            </a:rPr>
            <a:t>Get</a:t>
          </a:r>
          <a:r>
            <a:rPr lang="en-IN" sz="1600" b="1" baseline="0">
              <a:solidFill>
                <a:schemeClr val="bg1"/>
              </a:solidFill>
            </a:rPr>
            <a:t> started</a:t>
          </a:r>
          <a:endParaRPr lang="en-IN" sz="16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161925</xdr:colOff>
      <xdr:row>0</xdr:row>
      <xdr:rowOff>142875</xdr:rowOff>
    </xdr:from>
    <xdr:to>
      <xdr:col>10</xdr:col>
      <xdr:colOff>619125</xdr:colOff>
      <xdr:row>3</xdr:row>
      <xdr:rowOff>28575</xdr:rowOff>
    </xdr:to>
    <xdr:sp macro="[0]!Generate_Report" textlink="">
      <xdr:nvSpPr>
        <xdr:cNvPr id="2" name="Rectangle 1">
          <a:extLst>
            <a:ext uri="{FF2B5EF4-FFF2-40B4-BE49-F238E27FC236}">
              <a16:creationId xmlns:a16="http://schemas.microsoft.com/office/drawing/2014/main" id="{31620B2B-05DD-30D9-2AD4-3F4FB64DEA53}"/>
            </a:ext>
          </a:extLst>
        </xdr:cNvPr>
        <xdr:cNvSpPr/>
      </xdr:nvSpPr>
      <xdr:spPr>
        <a:xfrm>
          <a:off x="7019925" y="142875"/>
          <a:ext cx="1219200" cy="4857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a:solidFill>
                <a:schemeClr val="bg1"/>
              </a:solidFill>
            </a:rPr>
            <a:t>Get sheet</a:t>
          </a:r>
        </a:p>
      </xdr:txBody>
    </xdr:sp>
    <xdr:clientData/>
  </xdr:twoCellAnchor>
  <xdr:twoCellAnchor>
    <xdr:from>
      <xdr:col>9</xdr:col>
      <xdr:colOff>47625</xdr:colOff>
      <xdr:row>4</xdr:row>
      <xdr:rowOff>19050</xdr:rowOff>
    </xdr:from>
    <xdr:to>
      <xdr:col>10</xdr:col>
      <xdr:colOff>647700</xdr:colOff>
      <xdr:row>7</xdr:row>
      <xdr:rowOff>66675</xdr:rowOff>
    </xdr:to>
    <xdr:sp macro="[0]!Generate_Report" textlink="">
      <xdr:nvSpPr>
        <xdr:cNvPr id="3" name="Rectangle: Rounded Corners 2">
          <a:extLst>
            <a:ext uri="{FF2B5EF4-FFF2-40B4-BE49-F238E27FC236}">
              <a16:creationId xmlns:a16="http://schemas.microsoft.com/office/drawing/2014/main" id="{0034F627-F0AE-D7A1-2E36-69EF96156772}"/>
            </a:ext>
          </a:extLst>
        </xdr:cNvPr>
        <xdr:cNvSpPr/>
      </xdr:nvSpPr>
      <xdr:spPr>
        <a:xfrm>
          <a:off x="6905625" y="790575"/>
          <a:ext cx="1362075" cy="628650"/>
        </a:xfrm>
        <a:prstGeom prst="roundRect">
          <a:avLst>
            <a:gd name="adj"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Report</a:t>
          </a:r>
          <a:endParaRPr lang="en-IN"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323850</xdr:colOff>
      <xdr:row>22</xdr:row>
      <xdr:rowOff>76200</xdr:rowOff>
    </xdr:from>
    <xdr:to>
      <xdr:col>3</xdr:col>
      <xdr:colOff>647700</xdr:colOff>
      <xdr:row>36</xdr:row>
      <xdr:rowOff>76200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178D7DE5-BF91-7EE8-632C-7650C1A6430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247900" y="42672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104774</xdr:colOff>
      <xdr:row>0</xdr:row>
      <xdr:rowOff>142875</xdr:rowOff>
    </xdr:from>
    <xdr:to>
      <xdr:col>5</xdr:col>
      <xdr:colOff>419099</xdr:colOff>
      <xdr:row>21</xdr:row>
      <xdr:rowOff>142875</xdr:rowOff>
    </xdr:to>
    <mc:AlternateContent xmlns:mc="http://schemas.openxmlformats.org/markup-compatibility/2006" xmlns:a14="http://schemas.microsoft.com/office/drawing/2010/main">
      <mc:Choice Requires="a14">
        <xdr:graphicFrame macro="">
          <xdr:nvGraphicFramePr>
            <xdr:cNvPr id="5" name="Area">
              <a:extLst>
                <a:ext uri="{FF2B5EF4-FFF2-40B4-BE49-F238E27FC236}">
                  <a16:creationId xmlns:a16="http://schemas.microsoft.com/office/drawing/2014/main" id="{40AD9764-FFC3-E3F7-05CE-7540DE0883ED}"/>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3533774" y="142875"/>
              <a:ext cx="1838325" cy="4000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295275</xdr:colOff>
      <xdr:row>2</xdr:row>
      <xdr:rowOff>38100</xdr:rowOff>
    </xdr:from>
    <xdr:to>
      <xdr:col>4</xdr:col>
      <xdr:colOff>600075</xdr:colOff>
      <xdr:row>16</xdr:row>
      <xdr:rowOff>38100</xdr:rowOff>
    </xdr:to>
    <mc:AlternateContent xmlns:mc="http://schemas.openxmlformats.org/markup-compatibility/2006" xmlns:a14="http://schemas.microsoft.com/office/drawing/2010/main">
      <mc:Choice Requires="a14">
        <xdr:graphicFrame macro="">
          <xdr:nvGraphicFramePr>
            <xdr:cNvPr id="5" name="Product Name 1">
              <a:extLst>
                <a:ext uri="{FF2B5EF4-FFF2-40B4-BE49-F238E27FC236}">
                  <a16:creationId xmlns:a16="http://schemas.microsoft.com/office/drawing/2014/main" id="{12CD17FE-323E-7F38-9D83-0CC22FA7519D}"/>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2895600" y="4191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47625</xdr:colOff>
      <xdr:row>2</xdr:row>
      <xdr:rowOff>9525</xdr:rowOff>
    </xdr:from>
    <xdr:to>
      <xdr:col>7</xdr:col>
      <xdr:colOff>352425</xdr:colOff>
      <xdr:row>16</xdr:row>
      <xdr:rowOff>9525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721EE5F-1010-D70F-B7A9-B4F8A5ABA7D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933950" y="39052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4819.938819791663" backgroundQuery="1" createdVersion="8" refreshedVersion="8" minRefreshableVersion="3" recordCount="0" supportSubquery="1" supportAdvancedDrill="1" xr:uid="{EB1C75AA-F2E6-4761-8023-A4D2B1FE05D0}">
  <cacheSource type="external" connectionId="1"/>
  <cacheFields count="3">
    <cacheField name="[Measures].[Sum of Sales Value]" caption="Sum of Sales Value" numFmtId="0" hierarchy="16" level="32767"/>
    <cacheField name="[Range].[Area].[Area]" caption="Area" numFmtId="0" hierarchy="7" level="1">
      <sharedItems count="18">
        <s v="Arunachal Pradesh"/>
        <s v="Assam"/>
        <s v="Manipur"/>
        <s v="Meghalaya"/>
        <s v="Nagaland"/>
        <s v="Tripura"/>
        <s v="Delhi"/>
        <s v="HP"/>
        <s v="J&amp;K"/>
        <s v="Punjab"/>
        <s v="Uttaranchal"/>
        <s v="AP"/>
        <s v="Karnataka"/>
        <s v="Kerala"/>
        <s v="TN"/>
        <s v="Gujarat"/>
        <s v="Maharastra"/>
        <s v="Rajesthan"/>
      </sharedItems>
    </cacheField>
    <cacheField name="[Range].[Region].[Region]" caption="Region" numFmtId="0" hierarchy="6" level="1">
      <sharedItems count="4">
        <s v="East"/>
        <s v="North"/>
        <s v="South"/>
        <s v="West"/>
      </sharedItems>
    </cacheField>
  </cacheFields>
  <cacheHierarchies count="18">
    <cacheHierarchy uniqueName="[Range].[Order Date]" caption="Order Date" attribute="1" time="1" defaultMemberUniqueName="[Range].[Order Date].[All]" allUniqueName="[Range].[Order Date].[All]" dimensionUniqueName="[Range]" displayFolder="" count="2" memberValueDatatype="7" unbalanced="0"/>
    <cacheHierarchy uniqueName="[Range].[Product Code]" caption="Product Code" attribute="1" defaultMemberUniqueName="[Range].[Product Code].[All]" allUniqueName="[Range].[Product Code].[All]" dimensionUniqueName="[Range]" displayFolder="" count="2" memberValueDatatype="130" unbalanced="0"/>
    <cacheHierarchy uniqueName="[Range].[Product Name]" caption="Product Name" attribute="1" defaultMemberUniqueName="[Range].[Product Name].[All]" allUniqueName="[Range].[Product Name].[All]" dimensionUniqueName="[Range]" displayFolder="" count="2" memberValueDatatype="130" unbalanced="0"/>
    <cacheHierarchy uniqueName="[Range].[Price/Unit]" caption="Price/Unit" attribute="1" defaultMemberUniqueName="[Range].[Price/Unit].[All]" allUniqueName="[Range].[Price/Unit].[All]" dimensionUniqueName="[Range]" displayFolder="" count="2" memberValueDatatype="20" unbalanced="0"/>
    <cacheHierarchy uniqueName="[Range].[Basic Price]" caption="Basic Price" attribute="1" defaultMemberUniqueName="[Range].[Basic Price].[All]" allUniqueName="[Range].[Basic Price].[All]" dimensionUniqueName="[Range]" displayFolder="" count="2" memberValueDatatype="20" unbalanced="0"/>
    <cacheHierarchy uniqueName="[Range].[Month]" caption="Month" attribute="1" defaultMemberUniqueName="[Range].[Month].[All]" allUniqueName="[Range].[Month].[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Area]" caption="Area" attribute="1" defaultMemberUniqueName="[Range].[Area].[All]" allUniqueName="[Range].[Area].[All]" dimensionUniqueName="[Range]" displayFolder="" count="2" memberValueDatatype="130" unbalanced="0">
      <fieldsUsage count="2">
        <fieldUsage x="-1"/>
        <fieldUsage x="1"/>
      </fieldsUsage>
    </cacheHierarchy>
    <cacheHierarchy uniqueName="[Range].[Territory]" caption="Territory" attribute="1" defaultMemberUniqueName="[Range].[Territory].[All]" allUniqueName="[Range].[Territory].[All]" dimensionUniqueName="[Range]" displayFolder="" count="2" memberValueDatatype="130" unbalanced="0"/>
    <cacheHierarchy uniqueName="[Range].[Agent]" caption="Agent" attribute="1" defaultMemberUniqueName="[Range].[Agent].[All]" allUniqueName="[Range].[Agent].[All]" dimensionUniqueName="[Range]" displayFolder="" count="2" memberValueDatatype="130" unbalanced="0"/>
    <cacheHierarchy uniqueName="[Range].[Units Sold]" caption="Units Sold" attribute="1" defaultMemberUniqueName="[Range].[Units Sold].[All]" allUniqueName="[Range].[Units Sold].[All]" dimensionUniqueName="[Range]" displayFolder="" count="2" memberValueDatatype="20" unbalanced="0"/>
    <cacheHierarchy uniqueName="[Range].[Sales Value]" caption="Sales Value" attribute="1" defaultMemberUniqueName="[Range].[Sales Value].[All]" allUniqueName="[Range].[Sales Value].[All]" dimensionUniqueName="[Range]" displayFolder="" count="2" memberValueDatatype="20" unbalanced="0"/>
    <cacheHierarchy uniqueName="[Range].[Commission]" caption="Commission" attribute="1" defaultMemberUniqueName="[Range].[Commission].[All]" allUniqueName="[Range].[Commission].[All]" dimensionUniqueName="[Range]" displayFolder="" count="2" memberValueDatatype="5" unbalanced="0"/>
    <cacheHierarchy uniqueName="[Range].[Profit]" caption="Profit" attribute="1" defaultMemberUniqueName="[Range].[Profit].[All]" allUniqueName="[Range].[Profit].[All]" dimensionUniqueName="[Range]" displayFolder="" count="2"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Value]" caption="Sum of Sales Value" measure="1" displayFolder="" measureGroup="Range"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Region]" caption="Count of Region" measure="1" displayFolder="" measureGroup="Range" count="0" hidden="1">
      <extLst>
        <ext xmlns:x15="http://schemas.microsoft.com/office/spreadsheetml/2010/11/main" uri="{B97F6D7D-B522-45F9-BDA1-12C45D357490}">
          <x15:cacheHierarchy aggregatedColumn="6"/>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4822.587478009256" createdVersion="8" refreshedVersion="8" minRefreshableVersion="3" recordCount="30" xr:uid="{55F0D150-F913-4E5F-A205-8769BF88A20E}">
  <cacheSource type="worksheet">
    <worksheetSource ref="A1:N31" sheet="Pivot Table"/>
  </cacheSource>
  <cacheFields count="14">
    <cacheField name="Order Date" numFmtId="14">
      <sharedItems containsSemiMixedTypes="0" containsNonDate="0" containsDate="1" containsString="0" minDate="2022-04-01T00:00:00" maxDate="2022-05-01T00:00:00" count="3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3T00:00:00"/>
        <d v="2022-04-24T00:00:00"/>
        <d v="2022-04-25T00:00:00"/>
        <d v="2022-04-26T00:00:00"/>
        <d v="2022-04-27T00:00:00"/>
        <d v="2022-04-28T00:00:00"/>
        <d v="2022-04-29T00:00:00"/>
        <d v="2022-04-30T00:00:00"/>
      </sharedItems>
    </cacheField>
    <cacheField name="Product Code" numFmtId="0">
      <sharedItems/>
    </cacheField>
    <cacheField name="Product Name" numFmtId="0">
      <sharedItems count="5">
        <s v="Dettol"/>
        <s v="Lux"/>
        <s v="Cello Pen"/>
        <s v="Print Paper"/>
        <s v="Pepsodent"/>
      </sharedItems>
    </cacheField>
    <cacheField name="Price/Unit" numFmtId="0">
      <sharedItems containsSemiMixedTypes="0" containsString="0" containsNumber="1" containsInteger="1" minValue="12" maxValue="150"/>
    </cacheField>
    <cacheField name="Basic Price" numFmtId="0">
      <sharedItems containsSemiMixedTypes="0" containsString="0" containsNumber="1" containsInteger="1" minValue="15" maxValue="160"/>
    </cacheField>
    <cacheField name="Month" numFmtId="0">
      <sharedItems count="6">
        <s v="Jan"/>
        <s v="Feb"/>
        <s v="Mar"/>
        <s v="Apr"/>
        <s v="Jun"/>
        <s v="Jul"/>
      </sharedItems>
    </cacheField>
    <cacheField name="Region" numFmtId="0">
      <sharedItems count="4">
        <s v="East"/>
        <s v="West"/>
        <s v="North"/>
        <s v="South"/>
      </sharedItems>
    </cacheField>
    <cacheField name="Area" numFmtId="0">
      <sharedItems/>
    </cacheField>
    <cacheField name="Territory" numFmtId="0">
      <sharedItems/>
    </cacheField>
    <cacheField name="Agent" numFmtId="0">
      <sharedItems/>
    </cacheField>
    <cacheField name="Units Sold" numFmtId="0">
      <sharedItems containsSemiMixedTypes="0" containsString="0" containsNumber="1" containsInteger="1" minValue="577" maxValue="9000"/>
    </cacheField>
    <cacheField name="Sales Value" numFmtId="0">
      <sharedItems containsSemiMixedTypes="0" containsString="0" containsNumber="1" containsInteger="1" minValue="9840" maxValue="200000"/>
    </cacheField>
    <cacheField name="Commission" numFmtId="0">
      <sharedItems containsSemiMixedTypes="0" containsString="0" containsNumber="1" minValue="492" maxValue="10000"/>
    </cacheField>
    <cacheField name="Profit" numFmtId="0">
      <sharedItems containsSemiMixedTypes="0" containsString="0" containsNumber="1" minValue="1462.5" maxValue="20250"/>
    </cacheField>
  </cacheFields>
  <extLst>
    <ext xmlns:x14="http://schemas.microsoft.com/office/spreadsheetml/2009/9/main" uri="{725AE2AE-9491-48be-B2B4-4EB974FC3084}">
      <x14:pivotCacheDefinition pivotCacheId="68331687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4819.843974305557" backgroundQuery="1" createdVersion="3" refreshedVersion="8" minRefreshableVersion="3" recordCount="0" supportSubquery="1" supportAdvancedDrill="1" xr:uid="{7480F44F-DF6B-4C20-A158-CCD12D1701A5}">
  <cacheSource type="external" connectionId="1">
    <extLst>
      <ext xmlns:x14="http://schemas.microsoft.com/office/spreadsheetml/2009/9/main" uri="{F057638F-6D5F-4e77-A914-E7F072B9BCA8}">
        <x14:sourceConnection name="ThisWorkbookDataModel"/>
      </ext>
    </extLst>
  </cacheSource>
  <cacheFields count="0"/>
  <cacheHierarchies count="18">
    <cacheHierarchy uniqueName="[Range].[Order Date]" caption="Order Date" attribute="1" time="1" defaultMemberUniqueName="[Range].[Order Date].[All]" allUniqueName="[Range].[Order Date].[All]" dimensionUniqueName="[Range]" displayFolder="" count="0" memberValueDatatype="7" unbalanced="0"/>
    <cacheHierarchy uniqueName="[Range].[Product Code]" caption="Product Code" attribute="1" defaultMemberUniqueName="[Range].[Product Code].[All]" allUniqueName="[Range].[Product Code].[All]" dimensionUniqueName="[Range]" displayFolder="" count="0" memberValueDatatype="130" unbalanced="0"/>
    <cacheHierarchy uniqueName="[Range].[Product Name]" caption="Product Name" attribute="1" defaultMemberUniqueName="[Range].[Product Name].[All]" allUniqueName="[Range].[Product Name].[All]" dimensionUniqueName="[Range]" displayFolder="" count="0" memberValueDatatype="130" unbalanced="0"/>
    <cacheHierarchy uniqueName="[Range].[Price/Unit]" caption="Price/Unit" attribute="1" defaultMemberUniqueName="[Range].[Price/Unit].[All]" allUniqueName="[Range].[Price/Unit].[All]" dimensionUniqueName="[Range]" displayFolder="" count="0" memberValueDatatype="20" unbalanced="0"/>
    <cacheHierarchy uniqueName="[Range].[Basic Price]" caption="Basic Price" attribute="1" defaultMemberUniqueName="[Range].[Basic Price].[All]" allUniqueName="[Range].[Basic Price].[All]" dimensionUniqueName="[Range]" displayFolder="" count="0" memberValueDatatype="20" unbalanced="0"/>
    <cacheHierarchy uniqueName="[Range].[Month]" caption="Month" attribute="1" defaultMemberUniqueName="[Range].[Month].[All]" allUniqueName="[Range].[Month].[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Area]" caption="Area" attribute="1" defaultMemberUniqueName="[Range].[Area].[All]" allUniqueName="[Range].[Area].[All]" dimensionUniqueName="[Range]" displayFolder="" count="2" memberValueDatatype="130" unbalanced="0"/>
    <cacheHierarchy uniqueName="[Range].[Territory]" caption="Territory" attribute="1" defaultMemberUniqueName="[Range].[Territory].[All]" allUniqueName="[Range].[Territory].[All]" dimensionUniqueName="[Range]" displayFolder="" count="0" memberValueDatatype="130" unbalanced="0"/>
    <cacheHierarchy uniqueName="[Range].[Agent]" caption="Agent" attribute="1" defaultMemberUniqueName="[Range].[Agent].[All]" allUniqueName="[Range].[Agent].[All]" dimensionUniqueName="[Range]" displayFolder="" count="0" memberValueDatatype="130" unbalanced="0"/>
    <cacheHierarchy uniqueName="[Range].[Units Sold]" caption="Units Sold" attribute="1" defaultMemberUniqueName="[Range].[Units Sold].[All]" allUniqueName="[Range].[Units Sold].[All]" dimensionUniqueName="[Range]" displayFolder="" count="0" memberValueDatatype="20" unbalanced="0"/>
    <cacheHierarchy uniqueName="[Range].[Sales Value]" caption="Sales Value" attribute="1" defaultMemberUniqueName="[Range].[Sales Value].[All]" allUniqueName="[Range].[Sales Value].[All]" dimensionUniqueName="[Range]" displayFolder="" count="0" memberValueDatatype="20" unbalanced="0"/>
    <cacheHierarchy uniqueName="[Range].[Commission]" caption="Commission" attribute="1" defaultMemberUniqueName="[Range].[Commission].[All]" allUniqueName="[Range].[Commission].[All]" dimensionUniqueName="[Range]" displayFolder="" count="0" memberValueDatatype="5" unbalanced="0"/>
    <cacheHierarchy uniqueName="[Range].[Profit]" caption="Profit" attribute="1" defaultMemberUniqueName="[Range].[Profit].[All]" allUniqueName="[Range].[Profit].[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Value]" caption="Sum of Sales Value" measure="1" displayFolder="" measureGroup="Range"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Range"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15599264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C019"/>
    <x v="0"/>
    <n v="50"/>
    <n v="55"/>
    <x v="0"/>
    <x v="0"/>
    <s v="Assam"/>
    <s v="Dispur"/>
    <s v="ABC"/>
    <n v="2000"/>
    <n v="110000"/>
    <n v="5500"/>
    <n v="4500"/>
  </r>
  <r>
    <x v="1"/>
    <s v="PC001"/>
    <x v="1"/>
    <n v="15"/>
    <n v="20"/>
    <x v="0"/>
    <x v="1"/>
    <s v="Gujarat"/>
    <s v="Vadodara"/>
    <s v="GTC"/>
    <n v="1000"/>
    <n v="20000"/>
    <n v="1000"/>
    <n v="4000"/>
  </r>
  <r>
    <x v="2"/>
    <s v="PC003"/>
    <x v="2"/>
    <n v="12"/>
    <n v="15"/>
    <x v="0"/>
    <x v="2"/>
    <s v="J&amp;K"/>
    <s v="Jammu"/>
    <s v="JKTC"/>
    <n v="1200"/>
    <n v="18000"/>
    <n v="900"/>
    <n v="2700"/>
  </r>
  <r>
    <x v="3"/>
    <s v="PC043"/>
    <x v="3"/>
    <n v="150"/>
    <n v="160"/>
    <x v="0"/>
    <x v="3"/>
    <s v="Karnataka"/>
    <s v="Bangalore"/>
    <s v="KATC"/>
    <n v="1250"/>
    <n v="200000"/>
    <n v="10000"/>
    <n v="2500"/>
  </r>
  <r>
    <x v="4"/>
    <s v="PC021"/>
    <x v="4"/>
    <n v="50"/>
    <n v="60"/>
    <x v="0"/>
    <x v="0"/>
    <s v="Meghalaya"/>
    <s v="Shillong"/>
    <s v="MTC"/>
    <n v="1300"/>
    <n v="78000"/>
    <n v="3900"/>
    <n v="9100"/>
  </r>
  <r>
    <x v="5"/>
    <s v="PC019"/>
    <x v="0"/>
    <n v="50"/>
    <n v="55"/>
    <x v="1"/>
    <x v="1"/>
    <s v="Rajesthan"/>
    <s v="Bikaner"/>
    <s v="RTC"/>
    <n v="1350"/>
    <n v="74250"/>
    <n v="3712.5"/>
    <n v="3037.5"/>
  </r>
  <r>
    <x v="6"/>
    <s v="PC001"/>
    <x v="1"/>
    <n v="15"/>
    <n v="20"/>
    <x v="1"/>
    <x v="2"/>
    <s v="HP"/>
    <s v="Simla"/>
    <s v="HPTC"/>
    <n v="1400"/>
    <n v="28000"/>
    <n v="1400"/>
    <n v="5600"/>
  </r>
  <r>
    <x v="7"/>
    <s v="PC003"/>
    <x v="2"/>
    <n v="12"/>
    <n v="15"/>
    <x v="1"/>
    <x v="3"/>
    <s v="Kerala"/>
    <s v="Kochi"/>
    <s v="KETC"/>
    <n v="9000"/>
    <n v="135000"/>
    <n v="6750"/>
    <n v="20250"/>
  </r>
  <r>
    <x v="8"/>
    <s v="PC043"/>
    <x v="3"/>
    <n v="150"/>
    <n v="160"/>
    <x v="1"/>
    <x v="0"/>
    <s v="Manipur"/>
    <s v="Imphal"/>
    <s v="MATC"/>
    <n v="800"/>
    <n v="128000"/>
    <n v="6400"/>
    <n v="1600"/>
  </r>
  <r>
    <x v="9"/>
    <s v="PC021"/>
    <x v="4"/>
    <n v="50"/>
    <n v="60"/>
    <x v="1"/>
    <x v="1"/>
    <s v="Rajesthan"/>
    <s v="Ajmer"/>
    <s v="RTC"/>
    <n v="1700"/>
    <n v="102000"/>
    <n v="5100"/>
    <n v="11900"/>
  </r>
  <r>
    <x v="10"/>
    <s v="PC019"/>
    <x v="0"/>
    <n v="50"/>
    <n v="55"/>
    <x v="2"/>
    <x v="2"/>
    <s v="Punjab"/>
    <s v="Amrithsar"/>
    <s v="PTC"/>
    <n v="650"/>
    <n v="35750"/>
    <n v="1787.5"/>
    <n v="1462.5"/>
  </r>
  <r>
    <x v="11"/>
    <s v="PC001"/>
    <x v="1"/>
    <n v="15"/>
    <n v="20"/>
    <x v="2"/>
    <x v="3"/>
    <s v="TN"/>
    <s v="Chennai"/>
    <s v="TNTC"/>
    <n v="780"/>
    <n v="15600"/>
    <n v="780"/>
    <n v="3120"/>
  </r>
  <r>
    <x v="12"/>
    <s v="PC003"/>
    <x v="2"/>
    <n v="12"/>
    <n v="15"/>
    <x v="2"/>
    <x v="0"/>
    <s v="Nagaland"/>
    <s v="Kohima"/>
    <s v="NTC"/>
    <n v="820"/>
    <n v="12300"/>
    <n v="615"/>
    <n v="1845"/>
  </r>
  <r>
    <x v="13"/>
    <s v="PC043"/>
    <x v="3"/>
    <n v="150"/>
    <n v="160"/>
    <x v="2"/>
    <x v="1"/>
    <s v="Gujarat"/>
    <s v="Ahmedabad"/>
    <s v="GTC"/>
    <n v="780"/>
    <n v="124800"/>
    <n v="6240"/>
    <n v="1560"/>
  </r>
  <r>
    <x v="14"/>
    <s v="PC021"/>
    <x v="4"/>
    <n v="50"/>
    <n v="60"/>
    <x v="2"/>
    <x v="2"/>
    <s v="Uttaranchal"/>
    <s v="Nanital"/>
    <s v="UTC"/>
    <n v="850"/>
    <n v="51000"/>
    <n v="2550"/>
    <n v="5950"/>
  </r>
  <r>
    <x v="15"/>
    <s v="PC019"/>
    <x v="0"/>
    <n v="50"/>
    <n v="55"/>
    <x v="3"/>
    <x v="3"/>
    <s v="AP"/>
    <s v="Hyderabad"/>
    <s v="APTC"/>
    <n v="980"/>
    <n v="53900"/>
    <n v="2695"/>
    <n v="2205"/>
  </r>
  <r>
    <x v="16"/>
    <s v="PC001"/>
    <x v="1"/>
    <n v="15"/>
    <n v="20"/>
    <x v="3"/>
    <x v="0"/>
    <s v="Tripura"/>
    <s v="Agarthala"/>
    <s v="TTC"/>
    <n v="900"/>
    <n v="18000"/>
    <n v="900"/>
    <n v="3600"/>
  </r>
  <r>
    <x v="17"/>
    <s v="PC003"/>
    <x v="2"/>
    <n v="12"/>
    <n v="15"/>
    <x v="3"/>
    <x v="1"/>
    <s v="Maharastra"/>
    <s v="Mumbai"/>
    <s v="MHTC"/>
    <n v="656"/>
    <n v="9840"/>
    <n v="492"/>
    <n v="1476"/>
  </r>
  <r>
    <x v="18"/>
    <s v="PC043"/>
    <x v="3"/>
    <n v="150"/>
    <n v="160"/>
    <x v="3"/>
    <x v="2"/>
    <s v="Delhi"/>
    <s v="Delhi"/>
    <s v="DTC"/>
    <n v="985"/>
    <n v="157600"/>
    <n v="7880"/>
    <n v="1970"/>
  </r>
  <r>
    <x v="19"/>
    <s v="PC021"/>
    <x v="4"/>
    <n v="50"/>
    <n v="60"/>
    <x v="3"/>
    <x v="3"/>
    <s v="TN"/>
    <s v="Trichy"/>
    <s v="TNTC"/>
    <n v="658"/>
    <n v="39480"/>
    <n v="1974"/>
    <n v="4606"/>
  </r>
  <r>
    <x v="20"/>
    <s v="PC019"/>
    <x v="0"/>
    <n v="50"/>
    <n v="55"/>
    <x v="4"/>
    <x v="0"/>
    <s v="Tripura"/>
    <s v="Agarthala"/>
    <s v="TRTC"/>
    <n v="657"/>
    <n v="36135"/>
    <n v="1806.75"/>
    <n v="1478.25"/>
  </r>
  <r>
    <x v="21"/>
    <s v="PC001"/>
    <x v="1"/>
    <n v="15"/>
    <n v="20"/>
    <x v="4"/>
    <x v="1"/>
    <s v="Maharastra"/>
    <s v="Nasik"/>
    <s v="MHTC"/>
    <n v="895"/>
    <n v="17900"/>
    <n v="895"/>
    <n v="3580"/>
  </r>
  <r>
    <x v="22"/>
    <s v="PC003"/>
    <x v="2"/>
    <n v="12"/>
    <n v="15"/>
    <x v="4"/>
    <x v="2"/>
    <s v="Punjab"/>
    <s v="Kapurthala"/>
    <s v="PTC"/>
    <n v="856"/>
    <n v="12840"/>
    <n v="642"/>
    <n v="1926"/>
  </r>
  <r>
    <x v="23"/>
    <s v="PC043"/>
    <x v="3"/>
    <n v="150"/>
    <n v="160"/>
    <x v="4"/>
    <x v="3"/>
    <s v="AP"/>
    <s v="Warangal"/>
    <s v="APTC"/>
    <n v="985"/>
    <n v="157600"/>
    <n v="7880"/>
    <n v="1970"/>
  </r>
  <r>
    <x v="24"/>
    <s v="PC021"/>
    <x v="4"/>
    <n v="50"/>
    <n v="60"/>
    <x v="4"/>
    <x v="0"/>
    <s v="Arunachal Pradesh"/>
    <s v="Itanagar"/>
    <s v="ARTC"/>
    <n v="658"/>
    <n v="39480"/>
    <n v="1974"/>
    <n v="4606"/>
  </r>
  <r>
    <x v="25"/>
    <s v="PC019"/>
    <x v="0"/>
    <n v="50"/>
    <n v="55"/>
    <x v="5"/>
    <x v="1"/>
    <s v="Rajesthan"/>
    <s v="Jaipur"/>
    <s v="RTC"/>
    <n v="896"/>
    <n v="49280"/>
    <n v="2464"/>
    <n v="2016"/>
  </r>
  <r>
    <x v="26"/>
    <s v="PC001"/>
    <x v="1"/>
    <n v="15"/>
    <n v="20"/>
    <x v="5"/>
    <x v="2"/>
    <s v="HP"/>
    <s v="Manali"/>
    <s v="HPTC"/>
    <n v="577"/>
    <n v="11540"/>
    <n v="577"/>
    <n v="2308"/>
  </r>
  <r>
    <x v="27"/>
    <s v="PC003"/>
    <x v="2"/>
    <n v="12"/>
    <n v="15"/>
    <x v="5"/>
    <x v="3"/>
    <s v="Kerala"/>
    <s v="Kollam"/>
    <s v="KETC"/>
    <n v="987"/>
    <n v="14805"/>
    <n v="740.25"/>
    <n v="2220.75"/>
  </r>
  <r>
    <x v="28"/>
    <s v="PC043"/>
    <x v="3"/>
    <n v="150"/>
    <n v="160"/>
    <x v="5"/>
    <x v="0"/>
    <s v="Manipur"/>
    <s v="Bishnupur"/>
    <s v="MATC"/>
    <n v="897"/>
    <n v="143520"/>
    <n v="7176"/>
    <n v="1794"/>
  </r>
  <r>
    <x v="29"/>
    <s v="PC021"/>
    <x v="4"/>
    <n v="50"/>
    <n v="60"/>
    <x v="5"/>
    <x v="1"/>
    <s v="Rajesthan"/>
    <s v="Jaipur"/>
    <s v="RTC"/>
    <n v="852"/>
    <n v="51120"/>
    <n v="2556"/>
    <n v="59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CA882A-0363-4A3E-92CA-0D81CB7AE8F7}" name="PivotTable2" cacheId="0"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1">
  <location ref="A3:C22" firstHeaderRow="1" firstDataRow="1" firstDataCol="2"/>
  <pivotFields count="3">
    <pivotField dataField="1" compact="0" outline="0" subtotalTop="0" showAll="0" defaultSubtotal="0"/>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4">
        <item x="0"/>
        <item x="1"/>
        <item x="2"/>
        <item x="3"/>
      </items>
    </pivotField>
  </pivotFields>
  <rowFields count="2">
    <field x="2"/>
    <field x="1"/>
  </rowFields>
  <rowItems count="19">
    <i>
      <x/>
      <x/>
    </i>
    <i r="1">
      <x v="1"/>
    </i>
    <i r="1">
      <x v="2"/>
    </i>
    <i r="1">
      <x v="3"/>
    </i>
    <i r="1">
      <x v="4"/>
    </i>
    <i r="1">
      <x v="5"/>
    </i>
    <i>
      <x v="1"/>
      <x v="6"/>
    </i>
    <i r="1">
      <x v="7"/>
    </i>
    <i r="1">
      <x v="8"/>
    </i>
    <i r="1">
      <x v="9"/>
    </i>
    <i r="1">
      <x v="10"/>
    </i>
    <i>
      <x v="2"/>
      <x v="11"/>
    </i>
    <i r="1">
      <x v="12"/>
    </i>
    <i r="1">
      <x v="13"/>
    </i>
    <i r="1">
      <x v="14"/>
    </i>
    <i>
      <x v="3"/>
      <x v="15"/>
    </i>
    <i r="1">
      <x v="16"/>
    </i>
    <i r="1">
      <x v="17"/>
    </i>
    <i t="grand">
      <x/>
    </i>
  </rowItems>
  <colItems count="1">
    <i/>
  </colItems>
  <dataFields count="1">
    <dataField name="Sum of Sales Value" fld="0" baseField="0" baseItem="0" numFmtId="173"/>
  </dataFields>
  <pivotHierarchies count="18">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2">
    <rowHierarchyUsage hierarchyUsage="6"/>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ivot Table!$A$1:$N$3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4A12AD-769C-44AB-9823-23049D400493}" name="PivotTable2" cacheId="1"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chartFormat="1">
  <location ref="A3:D8" firstHeaderRow="0" firstDataRow="1" firstDataCol="2"/>
  <pivotFields count="14">
    <pivotField compact="0" numFmtId="14" outline="0" showAll="0" defaultSubtotal="0"/>
    <pivotField compact="0" outline="0" showAll="0" defaultSubtotal="0"/>
    <pivotField compact="0" outline="0" multipleItemSelectionAllowed="1" showAll="0" defaultSubtotal="0">
      <items count="5">
        <item h="1" x="2"/>
        <item h="1" x="0"/>
        <item x="1"/>
        <item h="1" x="4"/>
        <item h="1" x="3"/>
      </items>
    </pivotField>
    <pivotField compact="0" outline="0" showAll="0" defaultSubtotal="0"/>
    <pivotField compact="0" outline="0" showAll="0" defaultSubtotal="0"/>
    <pivotField axis="axisRow" compact="0" outline="0" showAll="0" defaultSubtotal="0">
      <items count="6">
        <item h="1" x="0"/>
        <item h="1" x="1"/>
        <item h="1" x="2"/>
        <item h="1" x="3"/>
        <item x="4"/>
        <item h="1" x="5"/>
      </items>
    </pivotField>
    <pivotField axis="axisRow" compact="0" outline="0" showAll="0" defaultSubtotal="0">
      <items count="4">
        <item x="0"/>
        <item x="2"/>
        <item x="3"/>
        <item x="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dataField="1" compact="0" outline="0" showAll="0" defaultSubtotal="0"/>
  </pivotFields>
  <rowFields count="2">
    <field x="6"/>
    <field x="5"/>
  </rowFields>
  <rowItems count="5">
    <i>
      <x/>
      <x v="4"/>
    </i>
    <i>
      <x v="1"/>
      <x v="4"/>
    </i>
    <i>
      <x v="2"/>
      <x v="4"/>
    </i>
    <i>
      <x v="3"/>
      <x v="4"/>
    </i>
    <i t="grand">
      <x/>
    </i>
  </rowItems>
  <colFields count="1">
    <field x="-2"/>
  </colFields>
  <colItems count="2">
    <i>
      <x/>
    </i>
    <i i="1">
      <x v="1"/>
    </i>
  </colItems>
  <dataFields count="2">
    <dataField name="Sales Value " fld="11" baseField="5" baseItem="0" numFmtId="173"/>
    <dataField name="Profit " fld="13" baseField="5" baseItem="0" numFmtId="173"/>
  </dataFields>
  <formats count="13">
    <format dxfId="12">
      <pivotArea outline="0" collapsedLevelsAreSubtotals="1" fieldPosition="0"/>
    </format>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field="5" type="button" dataOnly="0" labelOnly="1" outline="0" axis="axisRow" fieldPosition="1"/>
    </format>
    <format dxfId="7">
      <pivotArea dataOnly="0" labelOnly="1" outline="0" fieldPosition="0">
        <references count="1">
          <reference field="6" count="0"/>
        </references>
      </pivotArea>
    </format>
    <format dxfId="6">
      <pivotArea dataOnly="0" labelOnly="1" grandRow="1" outline="0" fieldPosition="0"/>
    </format>
    <format dxfId="5">
      <pivotArea dataOnly="0" labelOnly="1" outline="0" fieldPosition="0">
        <references count="2">
          <reference field="5" count="3">
            <x v="0"/>
            <x v="2"/>
            <x v="4"/>
          </reference>
          <reference field="6" count="1" selected="0">
            <x v="0"/>
          </reference>
        </references>
      </pivotArea>
    </format>
    <format dxfId="4">
      <pivotArea dataOnly="0" labelOnly="1" outline="0" fieldPosition="0">
        <references count="2">
          <reference field="5" count="3">
            <x v="0"/>
            <x v="2"/>
            <x v="4"/>
          </reference>
          <reference field="6" count="1" selected="0">
            <x v="1"/>
          </reference>
        </references>
      </pivotArea>
    </format>
    <format dxfId="3">
      <pivotArea dataOnly="0" labelOnly="1" outline="0" fieldPosition="0">
        <references count="2">
          <reference field="5" count="3">
            <x v="1"/>
            <x v="3"/>
            <x v="5"/>
          </reference>
          <reference field="6" count="1" selected="0">
            <x v="2"/>
          </reference>
        </references>
      </pivotArea>
    </format>
    <format dxfId="2">
      <pivotArea dataOnly="0" labelOnly="1" outline="0" fieldPosition="0">
        <references count="2">
          <reference field="5" count="3">
            <x v="1"/>
            <x v="3"/>
            <x v="5"/>
          </reference>
          <reference field="6" count="1" selected="0">
            <x v="3"/>
          </reference>
        </references>
      </pivotArea>
    </format>
    <format dxfId="1">
      <pivotArea dataOnly="0" labelOnly="1" outline="0" axis="axisValues" fieldPosition="0"/>
    </format>
    <format dxfId="0">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957805-A62D-47CC-9657-7AAEE584FF1D}"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14">
    <pivotField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x="23"/>
        <item h="1" x="24"/>
        <item h="1" x="25"/>
        <item h="1" x="26"/>
        <item h="1" x="27"/>
        <item h="1" x="28"/>
        <item h="1" x="29"/>
        <item t="default"/>
      </items>
    </pivotField>
    <pivotField showAll="0"/>
    <pivotField showAll="0">
      <items count="6">
        <item x="2"/>
        <item h="1" x="0"/>
        <item h="1" x="1"/>
        <item h="1" x="4"/>
        <item h="1" x="3"/>
        <item t="default"/>
      </items>
    </pivotField>
    <pivotField showAll="0"/>
    <pivotField showAll="0"/>
    <pivotField showAll="0">
      <items count="7">
        <item h="1" x="0"/>
        <item h="1" x="1"/>
        <item h="1" x="2"/>
        <item h="1" x="3"/>
        <item x="4"/>
        <item h="1" x="5"/>
        <item t="default"/>
      </items>
    </pivotField>
    <pivotField axis="axisRow" showAll="0">
      <items count="5">
        <item x="0"/>
        <item x="2"/>
        <item x="3"/>
        <item x="1"/>
        <item t="default"/>
      </items>
    </pivotField>
    <pivotField showAll="0"/>
    <pivotField showAll="0"/>
    <pivotField showAll="0"/>
    <pivotField showAll="0"/>
    <pivotField dataField="1" showAll="0"/>
    <pivotField showAll="0"/>
    <pivotField showAll="0"/>
  </pivotFields>
  <rowFields count="1">
    <field x="6"/>
  </rowFields>
  <rowItems count="2">
    <i>
      <x v="1"/>
    </i>
    <i t="grand">
      <x/>
    </i>
  </rowItems>
  <colItems count="1">
    <i/>
  </colItems>
  <dataFields count="1">
    <dataField name="Sum of Sales Valu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4777D12-E712-45CB-906F-A4C9AEAF0009}" sourceName="[Range].[Region]">
  <pivotTables>
    <pivotTable tabId="93" name="PivotTable2"/>
  </pivotTables>
  <data>
    <olap pivotCacheId="155992648">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78876CC8-CC22-413F-886E-C4EABF057BAF}" sourceName="[Range].[Area]">
  <pivotTables>
    <pivotTable tabId="93" name="PivotTable2"/>
  </pivotTables>
  <data>
    <olap pivotCacheId="155992648">
      <levels count="2">
        <level uniqueName="[Range].[Area].[(All)]" sourceCaption="(All)" count="0"/>
        <level uniqueName="[Range].[Area].[Area]" sourceCaption="Area" count="18">
          <ranges>
            <range startItem="0">
              <i n="[Range].[Area].&amp;[AP]" c="AP"/>
              <i n="[Range].[Area].&amp;[Arunachal Pradesh]" c="Arunachal Pradesh"/>
              <i n="[Range].[Area].&amp;[Assam]" c="Assam"/>
              <i n="[Range].[Area].&amp;[Delhi]" c="Delhi"/>
              <i n="[Range].[Area].&amp;[Gujarat]" c="Gujarat"/>
              <i n="[Range].[Area].&amp;[HP]" c="HP"/>
              <i n="[Range].[Area].&amp;[J&amp;K]" c="J&amp;K"/>
              <i n="[Range].[Area].&amp;[Karnataka]" c="Karnataka"/>
              <i n="[Range].[Area].&amp;[Kerala]" c="Kerala"/>
              <i n="[Range].[Area].&amp;[Maharastra]" c="Maharastra"/>
              <i n="[Range].[Area].&amp;[Manipur]" c="Manipur"/>
              <i n="[Range].[Area].&amp;[Meghalaya]" c="Meghalaya"/>
              <i n="[Range].[Area].&amp;[Nagaland]" c="Nagaland"/>
              <i n="[Range].[Area].&amp;[Punjab]" c="Punjab"/>
              <i n="[Range].[Area].&amp;[Rajesthan]" c="Rajesthan"/>
              <i n="[Range].[Area].&amp;[TN]" c="TN"/>
              <i n="[Range].[Area].&amp;[Tripura]" c="Tripura"/>
              <i n="[Range].[Area].&amp;[Uttaranchal]" c="Uttaranchal"/>
            </range>
          </ranges>
        </level>
      </levels>
      <selections count="1">
        <selection n="[Range].[Are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1" xr10:uid="{DCBFCBBE-8BD7-45A8-A95F-0C3B68748AB2}" sourceName="Product Name">
  <pivotTables>
    <pivotTable tabId="94" name="PivotTable1"/>
  </pivotTables>
  <data>
    <tabular pivotCacheId="683316876">
      <items count="5">
        <i x="2" s="1"/>
        <i x="0"/>
        <i x="1"/>
        <i x="4"/>
        <i x="3"/>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E0B506E-263B-440E-B8FF-FC71E37A7329}" sourceName="Month">
  <pivotTables>
    <pivotTable tabId="94" name="PivotTable1"/>
    <pivotTable tabId="92" name="PivotTable2"/>
  </pivotTables>
  <data>
    <tabular pivotCacheId="683316876">
      <items count="6">
        <i x="0"/>
        <i x="1"/>
        <i x="2"/>
        <i x="3"/>
        <i x="4" s="1"/>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6F425D1-50B3-4525-9F60-FCBD5E9E8FD3}" cache="Slicer_Region" caption="Region" level="1" rowHeight="257175"/>
  <slicer name="Area" xr10:uid="{B55ECD14-2DDE-40AD-9FC5-FC2C34AB6410}" cache="Slicer_Area" caption="Area"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1" xr10:uid="{71A11082-F9DA-4475-AC90-E41C30B214BE}" cache="Slicer_Product_Name1" caption="Product Name" rowHeight="257175"/>
  <slicer name="Month" xr10:uid="{2289F684-2025-4EEF-A793-5B05A381F369}" cache="Slicer_Month" caption="Month"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32"/>
  <sheetViews>
    <sheetView zoomScale="120" zoomScaleNormal="120" workbookViewId="0">
      <selection activeCell="G10" sqref="G10"/>
    </sheetView>
  </sheetViews>
  <sheetFormatPr defaultColWidth="8.88671875" defaultRowHeight="12.75"/>
  <cols>
    <col min="1" max="1" width="14" style="12" bestFit="1" customWidth="1"/>
    <col min="2" max="3" width="8.88671875" style="12"/>
    <col min="4" max="4" width="12.6640625" style="12" bestFit="1" customWidth="1"/>
    <col min="5" max="6" width="8.88671875" style="12"/>
    <col min="7" max="7" width="12.6640625" style="12" bestFit="1" customWidth="1"/>
    <col min="8" max="8" width="8.88671875" style="12"/>
    <col min="9" max="9" width="13.109375" style="12" bestFit="1" customWidth="1"/>
    <col min="10" max="10" width="15.6640625" style="12" bestFit="1" customWidth="1"/>
    <col min="11" max="11" width="8.88671875" style="12"/>
    <col min="12" max="12" width="12.6640625" style="12" bestFit="1" customWidth="1"/>
    <col min="13" max="16384" width="8.88671875" style="12"/>
  </cols>
  <sheetData>
    <row r="1" spans="1:13" s="153" customFormat="1" ht="20.45" customHeight="1">
      <c r="A1" s="282" t="s">
        <v>19</v>
      </c>
      <c r="B1" s="283"/>
      <c r="D1" s="282" t="s">
        <v>30</v>
      </c>
      <c r="E1" s="284"/>
      <c r="F1" s="284"/>
      <c r="G1" s="283"/>
      <c r="I1" s="282" t="s">
        <v>29</v>
      </c>
      <c r="J1" s="283"/>
      <c r="L1" s="282" t="s">
        <v>17</v>
      </c>
      <c r="M1" s="283"/>
    </row>
    <row r="2" spans="1:13">
      <c r="A2" s="77"/>
      <c r="B2" s="77"/>
      <c r="D2" s="229"/>
      <c r="E2" s="77"/>
      <c r="F2" s="77"/>
      <c r="G2" s="225"/>
      <c r="I2" s="77"/>
      <c r="J2" s="77"/>
      <c r="L2" s="77"/>
      <c r="M2" s="77"/>
    </row>
    <row r="3" spans="1:13" s="231" customFormat="1">
      <c r="A3" s="230" t="s">
        <v>9</v>
      </c>
      <c r="B3" s="230" t="s">
        <v>16</v>
      </c>
      <c r="D3" s="232" t="s">
        <v>28</v>
      </c>
      <c r="E3" s="230" t="s">
        <v>27</v>
      </c>
      <c r="F3" s="230" t="s">
        <v>26</v>
      </c>
      <c r="G3" s="227" t="s">
        <v>25</v>
      </c>
      <c r="I3" s="230" t="s">
        <v>9</v>
      </c>
      <c r="J3" s="230" t="s">
        <v>16</v>
      </c>
      <c r="L3" s="230" t="s">
        <v>9</v>
      </c>
      <c r="M3" s="230" t="s">
        <v>16</v>
      </c>
    </row>
    <row r="4" spans="1:13">
      <c r="A4" s="77" t="s">
        <v>7</v>
      </c>
      <c r="B4" s="77">
        <v>85</v>
      </c>
      <c r="D4" s="229" t="s">
        <v>24</v>
      </c>
      <c r="E4" s="77">
        <v>150</v>
      </c>
      <c r="F4" s="77">
        <v>10</v>
      </c>
      <c r="G4" s="227">
        <f>(E4*F4)</f>
        <v>1500</v>
      </c>
      <c r="I4" s="77" t="s">
        <v>7</v>
      </c>
      <c r="J4" s="77">
        <v>85</v>
      </c>
      <c r="L4" s="77" t="s">
        <v>7</v>
      </c>
      <c r="M4" s="77">
        <v>85</v>
      </c>
    </row>
    <row r="5" spans="1:13">
      <c r="A5" s="77" t="s">
        <v>6</v>
      </c>
      <c r="B5" s="77">
        <v>96</v>
      </c>
      <c r="D5" s="229" t="s">
        <v>23</v>
      </c>
      <c r="E5" s="77">
        <v>200</v>
      </c>
      <c r="F5" s="77">
        <v>15</v>
      </c>
      <c r="G5" s="227">
        <f t="shared" ref="G5:G8" si="0">(E5*F5)</f>
        <v>3000</v>
      </c>
      <c r="I5" s="77" t="s">
        <v>6</v>
      </c>
      <c r="J5" s="77">
        <v>96</v>
      </c>
      <c r="L5" s="77" t="s">
        <v>6</v>
      </c>
      <c r="M5" s="77">
        <v>96</v>
      </c>
    </row>
    <row r="6" spans="1:13">
      <c r="A6" s="77" t="s">
        <v>81</v>
      </c>
      <c r="B6" s="77">
        <v>78</v>
      </c>
      <c r="D6" s="229" t="s">
        <v>22</v>
      </c>
      <c r="E6" s="77">
        <v>250</v>
      </c>
      <c r="F6" s="77">
        <v>20</v>
      </c>
      <c r="G6" s="227">
        <f t="shared" si="0"/>
        <v>5000</v>
      </c>
      <c r="I6" s="77" t="s">
        <v>81</v>
      </c>
      <c r="J6" s="77">
        <v>78</v>
      </c>
      <c r="L6" s="77" t="s">
        <v>81</v>
      </c>
      <c r="M6" s="77">
        <v>78</v>
      </c>
    </row>
    <row r="7" spans="1:13">
      <c r="A7" s="77" t="s">
        <v>5</v>
      </c>
      <c r="B7" s="77">
        <v>65</v>
      </c>
      <c r="D7" s="229" t="s">
        <v>21</v>
      </c>
      <c r="E7" s="77">
        <v>300</v>
      </c>
      <c r="F7" s="77">
        <v>25</v>
      </c>
      <c r="G7" s="227">
        <f t="shared" si="0"/>
        <v>7500</v>
      </c>
      <c r="I7" s="77" t="s">
        <v>5</v>
      </c>
      <c r="J7" s="77">
        <v>65</v>
      </c>
      <c r="L7" s="77" t="s">
        <v>5</v>
      </c>
      <c r="M7" s="77">
        <v>65</v>
      </c>
    </row>
    <row r="8" spans="1:13" ht="13.5" thickBot="1">
      <c r="A8" s="77" t="s">
        <v>3</v>
      </c>
      <c r="B8" s="77">
        <v>89</v>
      </c>
      <c r="D8" s="233" t="s">
        <v>20</v>
      </c>
      <c r="E8" s="224">
        <v>350</v>
      </c>
      <c r="F8" s="224">
        <v>30</v>
      </c>
      <c r="G8" s="227">
        <f t="shared" si="0"/>
        <v>10500</v>
      </c>
      <c r="I8" s="77" t="s">
        <v>3</v>
      </c>
      <c r="J8" s="77">
        <v>89</v>
      </c>
      <c r="L8" s="77" t="s">
        <v>3</v>
      </c>
      <c r="M8" s="77">
        <v>89</v>
      </c>
    </row>
    <row r="9" spans="1:13" s="153" customFormat="1" ht="20.25">
      <c r="A9" s="228" t="s">
        <v>19</v>
      </c>
      <c r="B9" s="223">
        <f>SUM(B4:B8)</f>
        <v>413</v>
      </c>
      <c r="D9" s="228"/>
      <c r="E9" s="226"/>
      <c r="F9" s="228"/>
      <c r="G9" s="226">
        <f>SUM(G4:G8)</f>
        <v>27500</v>
      </c>
      <c r="I9" s="228" t="s">
        <v>18</v>
      </c>
      <c r="J9" s="226">
        <f>AVERAGE(J4:J8)</f>
        <v>82.6</v>
      </c>
      <c r="L9" s="228" t="s">
        <v>17</v>
      </c>
      <c r="M9" s="226">
        <f>MIN(M4:M8)</f>
        <v>65</v>
      </c>
    </row>
    <row r="11" spans="1:13" ht="13.5" thickBot="1"/>
    <row r="12" spans="1:13" s="153" customFormat="1" ht="20.45" customHeight="1">
      <c r="A12" s="282" t="s">
        <v>14</v>
      </c>
      <c r="B12" s="283"/>
      <c r="D12" s="282" t="s">
        <v>11</v>
      </c>
      <c r="E12" s="283"/>
      <c r="G12" s="282" t="s">
        <v>13</v>
      </c>
      <c r="H12" s="283"/>
      <c r="J12" s="282" t="s">
        <v>12</v>
      </c>
      <c r="K12" s="283"/>
    </row>
    <row r="13" spans="1:13">
      <c r="A13" s="229"/>
      <c r="B13" s="225"/>
      <c r="D13" s="77"/>
      <c r="E13" s="77"/>
      <c r="G13" s="229"/>
      <c r="H13" s="225"/>
      <c r="J13" s="229"/>
      <c r="K13" s="225"/>
    </row>
    <row r="14" spans="1:13" s="231" customFormat="1">
      <c r="A14" s="232" t="s">
        <v>9</v>
      </c>
      <c r="B14" s="227" t="s">
        <v>16</v>
      </c>
      <c r="D14" s="230" t="s">
        <v>9</v>
      </c>
      <c r="E14" s="230" t="s">
        <v>16</v>
      </c>
      <c r="G14" s="232" t="s">
        <v>9</v>
      </c>
      <c r="H14" s="227" t="s">
        <v>16</v>
      </c>
      <c r="J14" s="232" t="s">
        <v>9</v>
      </c>
      <c r="K14" s="227" t="s">
        <v>16</v>
      </c>
    </row>
    <row r="15" spans="1:13">
      <c r="A15" s="229" t="s">
        <v>7</v>
      </c>
      <c r="B15" s="225">
        <v>85</v>
      </c>
      <c r="D15" s="77" t="s">
        <v>7</v>
      </c>
      <c r="E15" s="77">
        <v>85</v>
      </c>
      <c r="G15" s="229" t="s">
        <v>7</v>
      </c>
      <c r="H15" s="225">
        <v>85</v>
      </c>
      <c r="J15" s="229" t="s">
        <v>7</v>
      </c>
      <c r="K15" s="225">
        <v>85</v>
      </c>
    </row>
    <row r="16" spans="1:13">
      <c r="A16" s="229" t="s">
        <v>6</v>
      </c>
      <c r="B16" s="225">
        <v>96</v>
      </c>
      <c r="D16" s="77" t="s">
        <v>6</v>
      </c>
      <c r="E16" s="77">
        <v>96</v>
      </c>
      <c r="G16" s="229" t="s">
        <v>6</v>
      </c>
      <c r="H16" s="225" t="s">
        <v>15</v>
      </c>
      <c r="J16" s="229" t="s">
        <v>6</v>
      </c>
      <c r="K16" s="225"/>
    </row>
    <row r="17" spans="1:11">
      <c r="A17" s="229" t="s">
        <v>81</v>
      </c>
      <c r="B17" s="225">
        <v>78</v>
      </c>
      <c r="D17" s="77" t="s">
        <v>81</v>
      </c>
      <c r="E17" s="77">
        <v>78</v>
      </c>
      <c r="G17" s="229" t="s">
        <v>81</v>
      </c>
      <c r="H17" s="225">
        <v>78</v>
      </c>
      <c r="J17" s="229" t="s">
        <v>81</v>
      </c>
      <c r="K17" s="225">
        <v>78</v>
      </c>
    </row>
    <row r="18" spans="1:11">
      <c r="A18" s="229" t="s">
        <v>5</v>
      </c>
      <c r="B18" s="225">
        <v>65</v>
      </c>
      <c r="D18" s="77" t="s">
        <v>5</v>
      </c>
      <c r="E18" s="77">
        <v>65</v>
      </c>
      <c r="G18" s="229" t="s">
        <v>5</v>
      </c>
      <c r="H18" s="225">
        <v>65</v>
      </c>
      <c r="J18" s="229" t="s">
        <v>5</v>
      </c>
      <c r="K18" s="225">
        <v>65</v>
      </c>
    </row>
    <row r="19" spans="1:11">
      <c r="A19" s="229" t="s">
        <v>3</v>
      </c>
      <c r="B19" s="225">
        <v>89</v>
      </c>
      <c r="D19" s="77" t="s">
        <v>3</v>
      </c>
      <c r="E19" s="77">
        <v>89</v>
      </c>
      <c r="G19" s="229" t="s">
        <v>3</v>
      </c>
      <c r="H19" s="225">
        <v>89</v>
      </c>
      <c r="J19" s="229" t="s">
        <v>3</v>
      </c>
      <c r="K19" s="225">
        <v>89</v>
      </c>
    </row>
    <row r="20" spans="1:11" s="153" customFormat="1" ht="20.25">
      <c r="A20" s="228" t="s">
        <v>14</v>
      </c>
      <c r="B20" s="226">
        <f>MAX(B15:B19)</f>
        <v>96</v>
      </c>
      <c r="D20" s="228" t="s">
        <v>11</v>
      </c>
      <c r="E20" s="226">
        <f>COUNT(E15:E19)</f>
        <v>5</v>
      </c>
      <c r="F20" s="153" t="s">
        <v>551</v>
      </c>
      <c r="G20" s="228" t="s">
        <v>13</v>
      </c>
      <c r="H20" s="226">
        <f>COUNTA(H15:H19)</f>
        <v>5</v>
      </c>
      <c r="J20" s="228" t="s">
        <v>12</v>
      </c>
      <c r="K20" s="226">
        <f>COUNTBLANK(K15:K19)</f>
        <v>1</v>
      </c>
    </row>
    <row r="21" spans="1:11" s="153" customFormat="1" ht="20.25">
      <c r="G21" s="228" t="s">
        <v>11</v>
      </c>
      <c r="H21" s="226">
        <f>COUNT(H15:H19)</f>
        <v>4</v>
      </c>
      <c r="J21" s="228" t="s">
        <v>11</v>
      </c>
      <c r="K21" s="226">
        <f>COUNT(K15:K19)</f>
        <v>4</v>
      </c>
    </row>
    <row r="23" spans="1:11" s="153" customFormat="1" ht="21.6" customHeight="1">
      <c r="A23" s="281" t="s">
        <v>10</v>
      </c>
      <c r="B23" s="281"/>
    </row>
    <row r="24" spans="1:11">
      <c r="A24" s="229"/>
      <c r="B24" s="225"/>
    </row>
    <row r="25" spans="1:11" s="231" customFormat="1">
      <c r="A25" s="232" t="s">
        <v>9</v>
      </c>
      <c r="B25" s="227" t="s">
        <v>8</v>
      </c>
    </row>
    <row r="26" spans="1:11">
      <c r="A26" s="229" t="s">
        <v>7</v>
      </c>
      <c r="B26" s="225" t="s">
        <v>4</v>
      </c>
    </row>
    <row r="27" spans="1:11">
      <c r="A27" s="229" t="s">
        <v>6</v>
      </c>
      <c r="B27" s="225" t="s">
        <v>2</v>
      </c>
    </row>
    <row r="28" spans="1:11">
      <c r="A28" s="229" t="s">
        <v>81</v>
      </c>
      <c r="B28" s="225" t="s">
        <v>2</v>
      </c>
    </row>
    <row r="29" spans="1:11">
      <c r="A29" s="229" t="s">
        <v>5</v>
      </c>
      <c r="B29" s="225" t="s">
        <v>4</v>
      </c>
    </row>
    <row r="30" spans="1:11">
      <c r="A30" s="229" t="s">
        <v>3</v>
      </c>
      <c r="B30" s="225" t="s">
        <v>2</v>
      </c>
    </row>
    <row r="31" spans="1:11" s="153" customFormat="1" ht="20.25">
      <c r="A31" s="228" t="s">
        <v>1</v>
      </c>
      <c r="B31" s="226">
        <f>COUNTIF(B26:B30,"F")</f>
        <v>2</v>
      </c>
    </row>
    <row r="32" spans="1:11" s="153" customFormat="1" ht="20.25">
      <c r="A32" s="228" t="s">
        <v>0</v>
      </c>
      <c r="B32" s="226">
        <f>COUNTIF(B26:B30,"M")</f>
        <v>3</v>
      </c>
    </row>
  </sheetData>
  <customSheetViews>
    <customSheetView guid="{BBE43EB8-AC5B-419E-90E4-72D0C525AF66}">
      <selection sqref="A1:B1"/>
      <pageMargins left="0.7" right="0.7" top="0.75" bottom="0.75" header="0.3" footer="0.3"/>
    </customSheetView>
  </customSheetViews>
  <mergeCells count="9">
    <mergeCell ref="A23:B23"/>
    <mergeCell ref="A1:B1"/>
    <mergeCell ref="D1:G1"/>
    <mergeCell ref="I1:J1"/>
    <mergeCell ref="L1:M1"/>
    <mergeCell ref="A12:B12"/>
    <mergeCell ref="D12:E12"/>
    <mergeCell ref="G12:H12"/>
    <mergeCell ref="J12:K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A1:G20"/>
  <sheetViews>
    <sheetView zoomScale="150" zoomScaleNormal="150" workbookViewId="0">
      <selection activeCell="E6" sqref="E6"/>
    </sheetView>
  </sheetViews>
  <sheetFormatPr defaultColWidth="8.88671875" defaultRowHeight="15"/>
  <cols>
    <col min="1" max="3" width="8.88671875" style="97"/>
    <col min="4" max="4" width="18.6640625" style="97" customWidth="1"/>
    <col min="5" max="5" width="11.77734375" style="97" customWidth="1"/>
    <col min="6" max="16384" width="8.88671875" style="97"/>
  </cols>
  <sheetData>
    <row r="1" spans="1:7">
      <c r="A1" s="144" t="s">
        <v>37</v>
      </c>
      <c r="B1" s="145" t="s">
        <v>36</v>
      </c>
      <c r="C1" s="145" t="s">
        <v>35</v>
      </c>
      <c r="D1" s="145" t="s">
        <v>776</v>
      </c>
      <c r="E1" s="145" t="s">
        <v>34</v>
      </c>
      <c r="F1" s="3"/>
      <c r="G1" s="3"/>
    </row>
    <row r="2" spans="1:7">
      <c r="A2" s="83" t="s">
        <v>33</v>
      </c>
      <c r="B2" s="82">
        <v>580</v>
      </c>
      <c r="C2" s="82">
        <v>640</v>
      </c>
      <c r="D2" s="98" t="str">
        <f>IF(B2&gt;C2, "Achieved","NA")</f>
        <v>NA</v>
      </c>
      <c r="E2" s="82">
        <f>IF(B2&gt;C2, 2%*C2,0)</f>
        <v>0</v>
      </c>
    </row>
    <row r="3" spans="1:7">
      <c r="A3" s="83" t="s">
        <v>32</v>
      </c>
      <c r="B3" s="82">
        <v>1200</v>
      </c>
      <c r="C3" s="82">
        <v>1000</v>
      </c>
      <c r="D3" s="98" t="str">
        <f t="shared" ref="D3:D4" si="0">IF(B3&gt;C3, "Achieved","NA")</f>
        <v>Achieved</v>
      </c>
      <c r="E3" s="82">
        <f t="shared" ref="E3:E4" si="1">IF(B3&gt;C3, 2%*C3,0)</f>
        <v>20</v>
      </c>
    </row>
    <row r="4" spans="1:7">
      <c r="A4" s="83" t="s">
        <v>31</v>
      </c>
      <c r="B4" s="82">
        <v>710</v>
      </c>
      <c r="C4" s="82">
        <v>700</v>
      </c>
      <c r="D4" s="98" t="str">
        <f t="shared" si="0"/>
        <v>Achieved</v>
      </c>
      <c r="E4" s="82">
        <f t="shared" si="1"/>
        <v>14</v>
      </c>
    </row>
    <row r="7" spans="1:7">
      <c r="A7"/>
      <c r="B7"/>
      <c r="C7"/>
    </row>
    <row r="8" spans="1:7">
      <c r="A8"/>
      <c r="B8"/>
      <c r="C8"/>
    </row>
    <row r="9" spans="1:7">
      <c r="A9"/>
      <c r="B9"/>
      <c r="C9"/>
    </row>
    <row r="10" spans="1:7">
      <c r="A10"/>
      <c r="B10"/>
      <c r="C10"/>
    </row>
    <row r="11" spans="1:7">
      <c r="A11"/>
      <c r="B11"/>
      <c r="C11"/>
    </row>
    <row r="19" spans="2:6">
      <c r="B19" s="99"/>
      <c r="C19" s="99"/>
      <c r="D19" s="99"/>
    </row>
    <row r="20" spans="2:6">
      <c r="F20" s="97" t="s">
        <v>551</v>
      </c>
    </row>
  </sheetData>
  <customSheetViews>
    <customSheetView guid="{BBE43EB8-AC5B-419E-90E4-72D0C525AF66}">
      <pageMargins left="0.7" right="0.7" top="0.75" bottom="0.75" header="0.3" footer="0.3"/>
    </customSheetView>
  </customSheetView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J31"/>
  <sheetViews>
    <sheetView topLeftCell="F1" zoomScale="120" zoomScaleNormal="120" workbookViewId="0">
      <selection activeCell="I16" sqref="I16"/>
    </sheetView>
  </sheetViews>
  <sheetFormatPr defaultColWidth="8.88671875" defaultRowHeight="15"/>
  <cols>
    <col min="1" max="1" width="16.88671875" style="97" customWidth="1"/>
    <col min="2" max="2" width="11.6640625" style="97" customWidth="1"/>
    <col min="3" max="3" width="15.77734375" style="97" customWidth="1"/>
    <col min="4" max="4" width="16.109375" style="97" customWidth="1"/>
    <col min="5" max="5" width="23" style="97" customWidth="1"/>
    <col min="6" max="6" width="29.5546875" style="97" customWidth="1"/>
    <col min="7" max="7" width="10.77734375" style="97" bestFit="1" customWidth="1"/>
    <col min="8" max="8" width="15.21875" style="97" customWidth="1"/>
    <col min="9" max="9" width="16" style="97" customWidth="1"/>
    <col min="10" max="16384" width="8.88671875" style="97"/>
  </cols>
  <sheetData>
    <row r="1" spans="1:10" ht="31.5">
      <c r="A1" s="80" t="s">
        <v>679</v>
      </c>
      <c r="B1" s="81" t="s">
        <v>46</v>
      </c>
      <c r="C1" s="81" t="s">
        <v>45</v>
      </c>
      <c r="D1" s="81" t="s">
        <v>44</v>
      </c>
      <c r="E1" s="81" t="s">
        <v>43</v>
      </c>
      <c r="F1" s="81" t="s">
        <v>42</v>
      </c>
      <c r="G1" s="81" t="s">
        <v>41</v>
      </c>
      <c r="H1" s="81" t="s">
        <v>40</v>
      </c>
      <c r="I1" s="81" t="s">
        <v>39</v>
      </c>
      <c r="J1" s="6"/>
    </row>
    <row r="2" spans="1:10">
      <c r="A2" s="198" t="s">
        <v>668</v>
      </c>
      <c r="B2" s="84">
        <v>4900</v>
      </c>
      <c r="C2" s="27">
        <f>50%*B2</f>
        <v>2450</v>
      </c>
      <c r="D2" s="27">
        <f>35%*B2</f>
        <v>1715</v>
      </c>
      <c r="E2" s="27">
        <f>10%*B2</f>
        <v>490</v>
      </c>
      <c r="F2" s="27">
        <f>SUM(B2:E2)</f>
        <v>9555</v>
      </c>
      <c r="G2" s="27">
        <f>IF(F2&lt;=3000,0,IF(F2&lt;=6000,10%*F2, IF(F2&lt;=9000,20%*F2,30%*F2)))</f>
        <v>2866.5</v>
      </c>
      <c r="H2" s="27">
        <f>12%*B2</f>
        <v>588</v>
      </c>
      <c r="I2" s="27">
        <f>F2-G2-H2</f>
        <v>6100.5</v>
      </c>
      <c r="J2" s="4"/>
    </row>
    <row r="3" spans="1:10">
      <c r="A3" s="198" t="s">
        <v>669</v>
      </c>
      <c r="B3" s="84">
        <v>3626</v>
      </c>
      <c r="C3" s="27">
        <f t="shared" ref="C3:C9" si="0">50%*B3</f>
        <v>1813</v>
      </c>
      <c r="D3" s="27">
        <f t="shared" ref="D3:D9" si="1">35%*B3</f>
        <v>1269.0999999999999</v>
      </c>
      <c r="E3" s="27">
        <f t="shared" ref="E3:E9" si="2">10%*B3</f>
        <v>362.6</v>
      </c>
      <c r="F3" s="27">
        <f t="shared" ref="F3:F9" si="3">SUM(B3:E3)</f>
        <v>7070.7000000000007</v>
      </c>
      <c r="G3" s="27">
        <f t="shared" ref="G3:G9" si="4">IF(F3&lt;=3000,0,IF(F3&lt;=6000,10%*F3, IF(F3&lt;=9000,20%*F3,30%*F3)))</f>
        <v>1414.1400000000003</v>
      </c>
      <c r="H3" s="27">
        <f t="shared" ref="H3:H9" si="5">12%*B3</f>
        <v>435.12</v>
      </c>
      <c r="I3" s="27">
        <f t="shared" ref="I3:I9" si="6">F3-G3-H3</f>
        <v>5221.4400000000005</v>
      </c>
      <c r="J3" s="4"/>
    </row>
    <row r="4" spans="1:10">
      <c r="A4" s="198" t="s">
        <v>670</v>
      </c>
      <c r="B4" s="84">
        <v>2450</v>
      </c>
      <c r="C4" s="27">
        <f t="shared" si="0"/>
        <v>1225</v>
      </c>
      <c r="D4" s="27">
        <f t="shared" si="1"/>
        <v>857.5</v>
      </c>
      <c r="E4" s="27">
        <f t="shared" si="2"/>
        <v>245</v>
      </c>
      <c r="F4" s="27">
        <f t="shared" si="3"/>
        <v>4777.5</v>
      </c>
      <c r="G4" s="27">
        <f t="shared" si="4"/>
        <v>477.75</v>
      </c>
      <c r="H4" s="27">
        <f t="shared" si="5"/>
        <v>294</v>
      </c>
      <c r="I4" s="27">
        <f t="shared" si="6"/>
        <v>4005.75</v>
      </c>
      <c r="J4" s="4"/>
    </row>
    <row r="5" spans="1:10">
      <c r="A5" s="198" t="s">
        <v>671</v>
      </c>
      <c r="B5" s="84">
        <v>2842</v>
      </c>
      <c r="C5" s="27">
        <f t="shared" si="0"/>
        <v>1421</v>
      </c>
      <c r="D5" s="27">
        <f t="shared" si="1"/>
        <v>994.69999999999993</v>
      </c>
      <c r="E5" s="27">
        <f t="shared" si="2"/>
        <v>284.2</v>
      </c>
      <c r="F5" s="27">
        <f t="shared" si="3"/>
        <v>5541.9</v>
      </c>
      <c r="G5" s="27">
        <f t="shared" si="4"/>
        <v>554.18999999999994</v>
      </c>
      <c r="H5" s="27">
        <f t="shared" si="5"/>
        <v>341.03999999999996</v>
      </c>
      <c r="I5" s="27">
        <f t="shared" si="6"/>
        <v>4646.67</v>
      </c>
      <c r="J5" s="4"/>
    </row>
    <row r="6" spans="1:10">
      <c r="A6" s="198" t="s">
        <v>672</v>
      </c>
      <c r="B6" s="84">
        <v>12000</v>
      </c>
      <c r="C6" s="27">
        <f t="shared" si="0"/>
        <v>6000</v>
      </c>
      <c r="D6" s="27">
        <f t="shared" si="1"/>
        <v>4200</v>
      </c>
      <c r="E6" s="27">
        <f t="shared" si="2"/>
        <v>1200</v>
      </c>
      <c r="F6" s="27">
        <f t="shared" si="3"/>
        <v>23400</v>
      </c>
      <c r="G6" s="27">
        <f t="shared" si="4"/>
        <v>7020</v>
      </c>
      <c r="H6" s="27">
        <f t="shared" si="5"/>
        <v>1440</v>
      </c>
      <c r="I6" s="27">
        <f t="shared" si="6"/>
        <v>14940</v>
      </c>
      <c r="J6" s="4"/>
    </row>
    <row r="7" spans="1:10">
      <c r="A7" s="198" t="s">
        <v>673</v>
      </c>
      <c r="B7" s="84">
        <v>3528</v>
      </c>
      <c r="C7" s="27">
        <f t="shared" si="0"/>
        <v>1764</v>
      </c>
      <c r="D7" s="27">
        <f t="shared" si="1"/>
        <v>1234.8</v>
      </c>
      <c r="E7" s="27">
        <f t="shared" si="2"/>
        <v>352.8</v>
      </c>
      <c r="F7" s="27">
        <f t="shared" si="3"/>
        <v>6879.6</v>
      </c>
      <c r="G7" s="27">
        <f t="shared" si="4"/>
        <v>1375.92</v>
      </c>
      <c r="H7" s="27">
        <f t="shared" si="5"/>
        <v>423.35999999999996</v>
      </c>
      <c r="I7" s="27">
        <f t="shared" si="6"/>
        <v>5080.3200000000006</v>
      </c>
      <c r="J7" s="4"/>
    </row>
    <row r="8" spans="1:10">
      <c r="A8" s="198" t="s">
        <v>674</v>
      </c>
      <c r="B8" s="84">
        <v>18350</v>
      </c>
      <c r="C8" s="27">
        <f t="shared" si="0"/>
        <v>9175</v>
      </c>
      <c r="D8" s="27">
        <f t="shared" si="1"/>
        <v>6422.5</v>
      </c>
      <c r="E8" s="27">
        <f t="shared" si="2"/>
        <v>1835</v>
      </c>
      <c r="F8" s="27">
        <f t="shared" si="3"/>
        <v>35782.5</v>
      </c>
      <c r="G8" s="27">
        <f t="shared" si="4"/>
        <v>10734.75</v>
      </c>
      <c r="H8" s="27">
        <f t="shared" si="5"/>
        <v>2202</v>
      </c>
      <c r="I8" s="27">
        <f t="shared" si="6"/>
        <v>22845.75</v>
      </c>
    </row>
    <row r="9" spans="1:10">
      <c r="A9" s="198" t="s">
        <v>675</v>
      </c>
      <c r="B9" s="84">
        <v>2842</v>
      </c>
      <c r="C9" s="27">
        <f t="shared" si="0"/>
        <v>1421</v>
      </c>
      <c r="D9" s="27">
        <f t="shared" si="1"/>
        <v>994.69999999999993</v>
      </c>
      <c r="E9" s="27">
        <f t="shared" si="2"/>
        <v>284.2</v>
      </c>
      <c r="F9" s="27">
        <f t="shared" si="3"/>
        <v>5541.9</v>
      </c>
      <c r="G9" s="27">
        <f t="shared" si="4"/>
        <v>554.18999999999994</v>
      </c>
      <c r="H9" s="27">
        <f t="shared" si="5"/>
        <v>341.03999999999996</v>
      </c>
      <c r="I9" s="27">
        <f t="shared" si="6"/>
        <v>4646.67</v>
      </c>
    </row>
    <row r="10" spans="1:10" ht="15.75">
      <c r="A10" s="7"/>
      <c r="B10" s="5"/>
    </row>
    <row r="11" spans="1:10" ht="15.75">
      <c r="A11" s="7"/>
      <c r="B11" s="5"/>
      <c r="F11"/>
      <c r="G11" s="142"/>
    </row>
    <row r="12" spans="1:10" ht="15.75">
      <c r="A12" s="7"/>
      <c r="B12" s="5"/>
      <c r="F12"/>
      <c r="G12"/>
    </row>
    <row r="13" spans="1:10" ht="15.75">
      <c r="A13" s="7"/>
      <c r="B13" s="5"/>
      <c r="F13"/>
      <c r="G13"/>
    </row>
    <row r="14" spans="1:10" ht="15.75">
      <c r="A14" s="7"/>
      <c r="B14" s="5"/>
      <c r="F14"/>
      <c r="G14"/>
    </row>
    <row r="15" spans="1:10" ht="15.75">
      <c r="A15" s="7"/>
      <c r="B15" s="5"/>
      <c r="F15"/>
      <c r="G15"/>
    </row>
    <row r="16" spans="1:10" ht="15.75">
      <c r="A16" s="7"/>
      <c r="B16" s="5"/>
      <c r="F16" s="26"/>
      <c r="G16" s="26"/>
    </row>
    <row r="17" spans="1:10" ht="15.75">
      <c r="A17" s="7"/>
      <c r="B17" s="5"/>
    </row>
    <row r="18" spans="1:10" ht="15.75">
      <c r="A18" s="7"/>
      <c r="B18" s="5"/>
    </row>
    <row r="19" spans="1:10" ht="15.75">
      <c r="A19" s="7"/>
      <c r="B19" s="5"/>
    </row>
    <row r="20" spans="1:10" ht="15.75">
      <c r="A20" s="7"/>
      <c r="B20" s="5"/>
      <c r="C20" s="7"/>
      <c r="D20" s="5"/>
    </row>
    <row r="21" spans="1:10" ht="15.75">
      <c r="B21" s="5"/>
      <c r="C21" s="5"/>
      <c r="D21" s="5"/>
    </row>
    <row r="22" spans="1:10" ht="15.75">
      <c r="B22" s="5"/>
      <c r="C22" s="5"/>
      <c r="D22" s="5"/>
      <c r="E22" s="5"/>
      <c r="F22" s="5"/>
      <c r="G22" s="5"/>
      <c r="H22" s="5"/>
      <c r="I22" s="4"/>
    </row>
    <row r="23" spans="1:10" ht="18">
      <c r="B23" s="5"/>
      <c r="C23" s="5"/>
      <c r="D23" s="140" t="s">
        <v>38</v>
      </c>
      <c r="E23" s="5"/>
      <c r="F23" s="5"/>
      <c r="G23" s="5"/>
      <c r="H23" s="5"/>
      <c r="I23" s="4"/>
    </row>
    <row r="24" spans="1:10" ht="18">
      <c r="B24" s="5"/>
      <c r="C24" s="5"/>
      <c r="D24" s="140"/>
      <c r="E24" s="5"/>
      <c r="F24" s="5"/>
      <c r="G24" s="5"/>
      <c r="H24" s="5"/>
      <c r="I24" s="4"/>
    </row>
    <row r="25" spans="1:10" ht="18">
      <c r="B25" s="5"/>
      <c r="C25" s="5"/>
      <c r="D25" s="141" t="s">
        <v>739</v>
      </c>
      <c r="E25" s="5"/>
      <c r="F25" s="5"/>
      <c r="G25" s="5"/>
      <c r="H25" s="5"/>
      <c r="I25" s="4"/>
    </row>
    <row r="26" spans="1:10" ht="18">
      <c r="B26" s="5"/>
      <c r="C26" s="5"/>
      <c r="D26" s="141" t="s">
        <v>740</v>
      </c>
      <c r="E26" s="5"/>
      <c r="F26" s="5"/>
      <c r="G26" s="5"/>
      <c r="H26" s="5"/>
      <c r="I26" s="4"/>
    </row>
    <row r="27" spans="1:10" ht="18">
      <c r="B27" s="5"/>
      <c r="C27" s="5"/>
      <c r="D27" s="141" t="s">
        <v>741</v>
      </c>
      <c r="E27" s="5"/>
      <c r="F27" s="5"/>
      <c r="G27" s="5"/>
      <c r="H27" s="5"/>
      <c r="I27" s="4"/>
    </row>
    <row r="28" spans="1:10" ht="18">
      <c r="B28" s="5"/>
      <c r="C28" s="5"/>
      <c r="D28" s="141" t="s">
        <v>742</v>
      </c>
      <c r="E28" s="5"/>
      <c r="F28" s="5"/>
      <c r="G28" s="5"/>
      <c r="H28" s="5"/>
      <c r="I28" s="4"/>
    </row>
    <row r="29" spans="1:10" ht="15.75">
      <c r="B29" s="5"/>
      <c r="C29" s="5"/>
      <c r="D29" s="5"/>
      <c r="E29" s="5"/>
      <c r="F29" s="5"/>
      <c r="G29" s="5"/>
      <c r="H29" s="5"/>
      <c r="I29" s="4"/>
    </row>
    <row r="30" spans="1:10" ht="15.75">
      <c r="B30" s="5"/>
      <c r="C30" s="5"/>
      <c r="D30" s="5"/>
      <c r="E30" s="5"/>
      <c r="F30" s="5"/>
      <c r="G30" s="5" t="s">
        <v>551</v>
      </c>
      <c r="H30" s="5"/>
      <c r="I30" s="4"/>
    </row>
    <row r="31" spans="1:10" ht="15.75">
      <c r="B31" s="5"/>
      <c r="C31" s="5"/>
      <c r="D31" s="5"/>
      <c r="E31" s="5"/>
      <c r="F31" s="5"/>
      <c r="G31" s="5"/>
      <c r="H31" s="5"/>
      <c r="I31" s="5"/>
      <c r="J31" s="4"/>
    </row>
  </sheetData>
  <customSheetViews>
    <customSheetView guid="{BBE43EB8-AC5B-419E-90E4-72D0C525AF66}" scale="140">
      <selection activeCell="H2" sqref="H2"/>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dimension ref="A1:L20"/>
  <sheetViews>
    <sheetView zoomScale="120" zoomScaleNormal="120" workbookViewId="0">
      <selection activeCell="B28" sqref="B28"/>
    </sheetView>
  </sheetViews>
  <sheetFormatPr defaultColWidth="8.88671875" defaultRowHeight="14.25"/>
  <cols>
    <col min="1" max="1" width="20.77734375" style="8" bestFit="1" customWidth="1"/>
    <col min="2" max="2" width="7.33203125" style="8" customWidth="1"/>
    <col min="3" max="3" width="8.21875" style="8" customWidth="1"/>
    <col min="4" max="4" width="11.77734375" style="8" customWidth="1"/>
    <col min="5" max="5" width="12.33203125" style="8" customWidth="1"/>
    <col min="6" max="6" width="15.33203125" style="8" customWidth="1"/>
    <col min="7" max="7" width="8.88671875" style="8" customWidth="1"/>
    <col min="8" max="8" width="15.77734375" style="8" customWidth="1"/>
    <col min="9" max="9" width="13.77734375" style="8" customWidth="1"/>
    <col min="10" max="10" width="8.88671875" style="8" customWidth="1"/>
    <col min="11" max="16384" width="8.88671875" style="8"/>
  </cols>
  <sheetData>
    <row r="1" spans="1:12" s="28" customFormat="1" ht="15.75" thickBot="1">
      <c r="A1" s="106" t="s">
        <v>71</v>
      </c>
      <c r="B1" s="107" t="s">
        <v>70</v>
      </c>
      <c r="C1" s="107" t="s">
        <v>69</v>
      </c>
      <c r="D1" s="107" t="s">
        <v>68</v>
      </c>
      <c r="E1" s="107" t="s">
        <v>67</v>
      </c>
      <c r="F1" s="107" t="s">
        <v>66</v>
      </c>
      <c r="G1" s="108"/>
      <c r="H1" s="112" t="s">
        <v>61</v>
      </c>
      <c r="I1" s="113" t="s">
        <v>65</v>
      </c>
    </row>
    <row r="2" spans="1:12" ht="15.75" customHeight="1" thickBot="1">
      <c r="A2" s="105">
        <v>100</v>
      </c>
      <c r="B2" s="93">
        <v>1000</v>
      </c>
      <c r="C2" s="93">
        <v>5.5</v>
      </c>
      <c r="D2" s="94">
        <f>B2*C2</f>
        <v>5500</v>
      </c>
      <c r="E2" s="93">
        <f>IF(D2&lt;=1000,"No Commission",IF(D2&lt;=5000,2%*D2,5%*D2))</f>
        <v>275</v>
      </c>
      <c r="F2" s="95" t="str">
        <f>IF(D2&lt;1000,"POOR",IF(D2&lt;=5000,"GOOD","EXCELLENT"))</f>
        <v>EXCELLENT</v>
      </c>
      <c r="H2" s="85" t="s">
        <v>59</v>
      </c>
      <c r="I2" s="86" t="s">
        <v>64</v>
      </c>
      <c r="L2" s="23"/>
    </row>
    <row r="3" spans="1:12" ht="14.25" customHeight="1" thickBot="1">
      <c r="A3" s="105">
        <v>101</v>
      </c>
      <c r="B3" s="93">
        <v>1200</v>
      </c>
      <c r="C3" s="93">
        <v>6.75</v>
      </c>
      <c r="D3" s="94">
        <f t="shared" ref="D3:D12" si="0">B3*C3</f>
        <v>8100</v>
      </c>
      <c r="E3" s="93">
        <f t="shared" ref="E3:E12" si="1">IF(D3&lt;=1000,"No Commission",IF(D3&lt;=5000,2%*D3,5%*D3))</f>
        <v>405</v>
      </c>
      <c r="F3" s="95" t="str">
        <f t="shared" ref="F3:F12" si="2">IF(D3&lt;1000,"POOR",IF(D3&lt;=5000,"GOOD","EXCELLENT"))</f>
        <v>EXCELLENT</v>
      </c>
      <c r="H3" s="85" t="s">
        <v>57</v>
      </c>
      <c r="I3" s="86" t="s">
        <v>63</v>
      </c>
    </row>
    <row r="4" spans="1:12" ht="13.5" customHeight="1" thickBot="1">
      <c r="A4" s="105">
        <v>102</v>
      </c>
      <c r="B4" s="93">
        <v>1300</v>
      </c>
      <c r="C4" s="93">
        <v>2</v>
      </c>
      <c r="D4" s="94">
        <f t="shared" si="0"/>
        <v>2600</v>
      </c>
      <c r="E4" s="93">
        <f t="shared" si="1"/>
        <v>52</v>
      </c>
      <c r="F4" s="95" t="str">
        <f t="shared" si="2"/>
        <v>GOOD</v>
      </c>
      <c r="H4" s="85" t="s">
        <v>55</v>
      </c>
      <c r="I4" s="86" t="s">
        <v>62</v>
      </c>
    </row>
    <row r="5" spans="1:12" ht="15" thickBot="1">
      <c r="A5" s="105">
        <v>103</v>
      </c>
      <c r="B5" s="93">
        <v>800</v>
      </c>
      <c r="C5" s="93">
        <v>4</v>
      </c>
      <c r="D5" s="94">
        <f t="shared" si="0"/>
        <v>3200</v>
      </c>
      <c r="E5" s="93">
        <f t="shared" si="1"/>
        <v>64</v>
      </c>
      <c r="F5" s="95" t="str">
        <f t="shared" si="2"/>
        <v>GOOD</v>
      </c>
    </row>
    <row r="6" spans="1:12" ht="15" thickBot="1">
      <c r="A6" s="105">
        <v>104</v>
      </c>
      <c r="B6" s="93">
        <v>1200</v>
      </c>
      <c r="C6" s="93">
        <v>5</v>
      </c>
      <c r="D6" s="94">
        <f t="shared" si="0"/>
        <v>6000</v>
      </c>
      <c r="E6" s="93">
        <f t="shared" si="1"/>
        <v>300</v>
      </c>
      <c r="F6" s="95" t="str">
        <f t="shared" si="2"/>
        <v>EXCELLENT</v>
      </c>
    </row>
    <row r="7" spans="1:12" s="109" customFormat="1" ht="15.75" thickBot="1">
      <c r="A7" s="105">
        <v>105</v>
      </c>
      <c r="B7" s="93">
        <v>1800</v>
      </c>
      <c r="C7" s="93">
        <v>0.5</v>
      </c>
      <c r="D7" s="94">
        <f t="shared" si="0"/>
        <v>900</v>
      </c>
      <c r="E7" s="93" t="str">
        <f t="shared" si="1"/>
        <v>No Commission</v>
      </c>
      <c r="F7" s="95" t="str">
        <f t="shared" si="2"/>
        <v>POOR</v>
      </c>
      <c r="H7" s="111" t="s">
        <v>61</v>
      </c>
      <c r="I7" s="111" t="s">
        <v>60</v>
      </c>
    </row>
    <row r="8" spans="1:12" ht="15" thickBot="1">
      <c r="A8" s="105">
        <v>106</v>
      </c>
      <c r="B8" s="93">
        <v>145</v>
      </c>
      <c r="C8" s="93">
        <v>2</v>
      </c>
      <c r="D8" s="94">
        <f t="shared" si="0"/>
        <v>290</v>
      </c>
      <c r="E8" s="93" t="str">
        <f t="shared" si="1"/>
        <v>No Commission</v>
      </c>
      <c r="F8" s="95" t="str">
        <f t="shared" si="2"/>
        <v>POOR</v>
      </c>
      <c r="H8" s="85" t="s">
        <v>59</v>
      </c>
      <c r="I8" s="110" t="s">
        <v>58</v>
      </c>
    </row>
    <row r="9" spans="1:12" ht="15" thickBot="1">
      <c r="A9" s="105">
        <v>107</v>
      </c>
      <c r="B9" s="93">
        <v>1900</v>
      </c>
      <c r="C9" s="93">
        <v>3.5</v>
      </c>
      <c r="D9" s="94">
        <f t="shared" si="0"/>
        <v>6650</v>
      </c>
      <c r="E9" s="93">
        <f t="shared" si="1"/>
        <v>332.5</v>
      </c>
      <c r="F9" s="95" t="str">
        <f t="shared" si="2"/>
        <v>EXCELLENT</v>
      </c>
      <c r="H9" s="85" t="s">
        <v>57</v>
      </c>
      <c r="I9" s="110" t="s">
        <v>56</v>
      </c>
    </row>
    <row r="10" spans="1:12" ht="15" thickBot="1">
      <c r="A10" s="105">
        <v>108</v>
      </c>
      <c r="B10" s="93">
        <v>1550</v>
      </c>
      <c r="C10" s="93">
        <v>2.25</v>
      </c>
      <c r="D10" s="94">
        <f t="shared" si="0"/>
        <v>3487.5</v>
      </c>
      <c r="E10" s="93">
        <f t="shared" si="1"/>
        <v>69.75</v>
      </c>
      <c r="F10" s="95" t="str">
        <f t="shared" si="2"/>
        <v>GOOD</v>
      </c>
      <c r="H10" s="85" t="s">
        <v>55</v>
      </c>
      <c r="I10" s="110" t="s">
        <v>54</v>
      </c>
    </row>
    <row r="11" spans="1:12" ht="15" thickBot="1">
      <c r="A11" s="105">
        <v>109</v>
      </c>
      <c r="B11" s="93">
        <v>2000</v>
      </c>
      <c r="C11" s="93">
        <v>2</v>
      </c>
      <c r="D11" s="94">
        <f t="shared" si="0"/>
        <v>4000</v>
      </c>
      <c r="E11" s="93">
        <f t="shared" si="1"/>
        <v>80</v>
      </c>
      <c r="F11" s="95" t="str">
        <f t="shared" si="2"/>
        <v>GOOD</v>
      </c>
    </row>
    <row r="12" spans="1:12" ht="15" thickBot="1">
      <c r="A12" s="105">
        <v>110</v>
      </c>
      <c r="B12" s="93">
        <v>2200</v>
      </c>
      <c r="C12" s="93">
        <v>3</v>
      </c>
      <c r="D12" s="94">
        <f t="shared" si="0"/>
        <v>6600</v>
      </c>
      <c r="E12" s="93">
        <f t="shared" si="1"/>
        <v>330</v>
      </c>
      <c r="F12" s="95" t="str">
        <f t="shared" si="2"/>
        <v>EXCELLENT</v>
      </c>
    </row>
    <row r="13" spans="1:12" ht="15.6" customHeight="1" thickTop="1">
      <c r="A13" s="88" t="s">
        <v>53</v>
      </c>
      <c r="B13" s="291">
        <f>SUM(D2:D12)</f>
        <v>47327.5</v>
      </c>
      <c r="C13" s="292"/>
      <c r="D13" s="292"/>
      <c r="E13" s="292"/>
      <c r="F13" s="293"/>
    </row>
    <row r="14" spans="1:12" ht="15" customHeight="1">
      <c r="A14" s="89" t="s">
        <v>52</v>
      </c>
      <c r="B14" s="294">
        <f>MAX(D2:D12)</f>
        <v>8100</v>
      </c>
      <c r="C14" s="286"/>
      <c r="D14" s="286"/>
      <c r="E14" s="286"/>
      <c r="F14" s="287"/>
    </row>
    <row r="15" spans="1:12" ht="15" customHeight="1">
      <c r="A15" s="91" t="s">
        <v>51</v>
      </c>
      <c r="B15" s="294">
        <f>MIN(D2:D12)</f>
        <v>290</v>
      </c>
      <c r="C15" s="286"/>
      <c r="D15" s="286"/>
      <c r="E15" s="286"/>
      <c r="F15" s="287"/>
    </row>
    <row r="16" spans="1:12" ht="15" customHeight="1">
      <c r="A16" s="92" t="s">
        <v>50</v>
      </c>
      <c r="B16" s="294">
        <f>AVERAGE(D2:D12)</f>
        <v>4302.5</v>
      </c>
      <c r="C16" s="286"/>
      <c r="D16" s="286"/>
      <c r="E16" s="286"/>
      <c r="F16" s="287"/>
    </row>
    <row r="17" spans="1:6" ht="15" customHeight="1">
      <c r="A17" s="89" t="s">
        <v>49</v>
      </c>
      <c r="B17" s="285">
        <f>COUNTIF(F2:F12,"EXCELLENT")</f>
        <v>5</v>
      </c>
      <c r="C17" s="286"/>
      <c r="D17" s="286"/>
      <c r="E17" s="286"/>
      <c r="F17" s="287"/>
    </row>
    <row r="18" spans="1:6" ht="15" customHeight="1">
      <c r="A18" s="91" t="s">
        <v>48</v>
      </c>
      <c r="B18" s="285">
        <f>COUNTIF(F2:F12,"GOOD")</f>
        <v>4</v>
      </c>
      <c r="C18" s="286"/>
      <c r="D18" s="286"/>
      <c r="E18" s="286"/>
      <c r="F18" s="287"/>
    </row>
    <row r="19" spans="1:6" ht="15.6" customHeight="1" thickBot="1">
      <c r="A19" s="90" t="s">
        <v>47</v>
      </c>
      <c r="B19" s="288">
        <f>COUNTIF(F2:F12,"POOR")</f>
        <v>2</v>
      </c>
      <c r="C19" s="289"/>
      <c r="D19" s="289"/>
      <c r="E19" s="289"/>
      <c r="F19" s="290" t="s">
        <v>551</v>
      </c>
    </row>
    <row r="20" spans="1:6" ht="15" thickTop="1">
      <c r="A20" s="87"/>
      <c r="B20" s="9"/>
      <c r="C20" s="9"/>
      <c r="D20" s="9"/>
      <c r="E20" s="9"/>
      <c r="F20" s="9"/>
    </row>
  </sheetData>
  <customSheetViews>
    <customSheetView guid="{BBE43EB8-AC5B-419E-90E4-72D0C525AF66}">
      <pageMargins left="0.7" right="0.7" top="0.75" bottom="0.75" header="0.3" footer="0.3"/>
    </customSheetView>
  </customSheetViews>
  <mergeCells count="7">
    <mergeCell ref="B18:F18"/>
    <mergeCell ref="B19:F19"/>
    <mergeCell ref="B13:F13"/>
    <mergeCell ref="B14:F14"/>
    <mergeCell ref="B15:F15"/>
    <mergeCell ref="B16:F16"/>
    <mergeCell ref="B17:F1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N23"/>
  <sheetViews>
    <sheetView zoomScale="115" zoomScaleNormal="115" workbookViewId="0">
      <selection activeCell="P14" sqref="P14"/>
    </sheetView>
  </sheetViews>
  <sheetFormatPr defaultRowHeight="15"/>
  <cols>
    <col min="2" max="2" width="4.5546875" customWidth="1"/>
    <col min="3" max="3" width="5.109375" customWidth="1"/>
    <col min="4" max="5" width="5.21875" customWidth="1"/>
    <col min="6" max="6" width="5.33203125" customWidth="1"/>
    <col min="7" max="7" width="5.44140625" customWidth="1"/>
    <col min="8" max="8" width="4.88671875" customWidth="1"/>
    <col min="9" max="9" width="4.77734375" customWidth="1"/>
    <col min="10" max="10" width="5.88671875" customWidth="1"/>
    <col min="11" max="11" width="6.21875" customWidth="1"/>
  </cols>
  <sheetData>
    <row r="2" spans="2:14">
      <c r="B2" s="96">
        <v>1</v>
      </c>
      <c r="C2" s="96">
        <v>2</v>
      </c>
      <c r="D2" s="96">
        <v>3</v>
      </c>
      <c r="E2" s="96">
        <v>4</v>
      </c>
      <c r="F2" s="96">
        <v>5</v>
      </c>
      <c r="G2" s="96">
        <v>6</v>
      </c>
      <c r="H2" s="96">
        <v>7</v>
      </c>
      <c r="I2" s="96">
        <v>8</v>
      </c>
      <c r="J2" s="96">
        <v>9</v>
      </c>
      <c r="K2" s="96">
        <v>10</v>
      </c>
    </row>
    <row r="3" spans="2:14">
      <c r="B3" s="96">
        <v>2</v>
      </c>
      <c r="C3" s="63">
        <f>$B3*C$2</f>
        <v>4</v>
      </c>
      <c r="D3" s="63">
        <f t="shared" ref="D3:K11" si="0">$B3*D$2</f>
        <v>6</v>
      </c>
      <c r="E3" s="63">
        <f t="shared" si="0"/>
        <v>8</v>
      </c>
      <c r="F3" s="63">
        <f t="shared" si="0"/>
        <v>10</v>
      </c>
      <c r="G3" s="63">
        <f t="shared" si="0"/>
        <v>12</v>
      </c>
      <c r="H3" s="63">
        <f t="shared" si="0"/>
        <v>14</v>
      </c>
      <c r="I3" s="63">
        <f t="shared" si="0"/>
        <v>16</v>
      </c>
      <c r="J3" s="63">
        <f t="shared" si="0"/>
        <v>18</v>
      </c>
      <c r="K3" s="63">
        <f t="shared" si="0"/>
        <v>20</v>
      </c>
    </row>
    <row r="4" spans="2:14">
      <c r="B4" s="96">
        <v>3</v>
      </c>
      <c r="C4" s="63">
        <f t="shared" ref="C4:C11" si="1">$B4*C$2</f>
        <v>6</v>
      </c>
      <c r="D4" s="63">
        <f t="shared" si="0"/>
        <v>9</v>
      </c>
      <c r="E4" s="63">
        <f t="shared" si="0"/>
        <v>12</v>
      </c>
      <c r="F4" s="63">
        <f t="shared" si="0"/>
        <v>15</v>
      </c>
      <c r="G4" s="63">
        <f t="shared" si="0"/>
        <v>18</v>
      </c>
      <c r="H4" s="63">
        <f t="shared" si="0"/>
        <v>21</v>
      </c>
      <c r="I4" s="63">
        <f t="shared" si="0"/>
        <v>24</v>
      </c>
      <c r="J4" s="63">
        <f t="shared" si="0"/>
        <v>27</v>
      </c>
      <c r="K4" s="63">
        <f t="shared" si="0"/>
        <v>30</v>
      </c>
    </row>
    <row r="5" spans="2:14">
      <c r="B5" s="96">
        <v>4</v>
      </c>
      <c r="C5" s="63">
        <f t="shared" si="1"/>
        <v>8</v>
      </c>
      <c r="D5" s="63">
        <f t="shared" si="0"/>
        <v>12</v>
      </c>
      <c r="E5" s="63">
        <f t="shared" si="0"/>
        <v>16</v>
      </c>
      <c r="F5" s="63">
        <f t="shared" si="0"/>
        <v>20</v>
      </c>
      <c r="G5" s="63">
        <f t="shared" si="0"/>
        <v>24</v>
      </c>
      <c r="H5" s="63">
        <f t="shared" si="0"/>
        <v>28</v>
      </c>
      <c r="I5" s="63">
        <f t="shared" si="0"/>
        <v>32</v>
      </c>
      <c r="J5" s="63">
        <f t="shared" si="0"/>
        <v>36</v>
      </c>
      <c r="K5" s="63">
        <f t="shared" si="0"/>
        <v>40</v>
      </c>
    </row>
    <row r="6" spans="2:14">
      <c r="B6" s="96">
        <v>5</v>
      </c>
      <c r="C6" s="63">
        <f t="shared" si="1"/>
        <v>10</v>
      </c>
      <c r="D6" s="63">
        <f t="shared" si="0"/>
        <v>15</v>
      </c>
      <c r="E6" s="63">
        <f t="shared" si="0"/>
        <v>20</v>
      </c>
      <c r="F6" s="63">
        <f t="shared" si="0"/>
        <v>25</v>
      </c>
      <c r="G6" s="63">
        <f t="shared" si="0"/>
        <v>30</v>
      </c>
      <c r="H6" s="63">
        <f t="shared" si="0"/>
        <v>35</v>
      </c>
      <c r="I6" s="63">
        <f t="shared" si="0"/>
        <v>40</v>
      </c>
      <c r="J6" s="63">
        <f t="shared" si="0"/>
        <v>45</v>
      </c>
      <c r="K6" s="63">
        <f t="shared" si="0"/>
        <v>50</v>
      </c>
      <c r="N6">
        <f>$J$6+K7</f>
        <v>105</v>
      </c>
    </row>
    <row r="7" spans="2:14">
      <c r="B7" s="96">
        <v>6</v>
      </c>
      <c r="C7" s="63">
        <f t="shared" si="1"/>
        <v>12</v>
      </c>
      <c r="D7" s="63">
        <f t="shared" si="0"/>
        <v>18</v>
      </c>
      <c r="E7" s="63">
        <f t="shared" si="0"/>
        <v>24</v>
      </c>
      <c r="F7" s="63">
        <f t="shared" si="0"/>
        <v>30</v>
      </c>
      <c r="G7" s="63">
        <f t="shared" si="0"/>
        <v>36</v>
      </c>
      <c r="H7" s="63">
        <f t="shared" si="0"/>
        <v>42</v>
      </c>
      <c r="I7" s="63">
        <f t="shared" si="0"/>
        <v>48</v>
      </c>
      <c r="J7" s="63">
        <f t="shared" si="0"/>
        <v>54</v>
      </c>
      <c r="K7" s="63">
        <f t="shared" si="0"/>
        <v>60</v>
      </c>
      <c r="N7">
        <f t="shared" ref="N7:N14" si="2">$J$6+K8</f>
        <v>115</v>
      </c>
    </row>
    <row r="8" spans="2:14">
      <c r="B8" s="96">
        <v>7</v>
      </c>
      <c r="C8" s="63">
        <f t="shared" si="1"/>
        <v>14</v>
      </c>
      <c r="D8" s="63">
        <f t="shared" si="0"/>
        <v>21</v>
      </c>
      <c r="E8" s="63">
        <f t="shared" si="0"/>
        <v>28</v>
      </c>
      <c r="F8" s="63">
        <f t="shared" si="0"/>
        <v>35</v>
      </c>
      <c r="G8" s="63">
        <f t="shared" si="0"/>
        <v>42</v>
      </c>
      <c r="H8" s="63">
        <f t="shared" si="0"/>
        <v>49</v>
      </c>
      <c r="I8" s="63">
        <f t="shared" si="0"/>
        <v>56</v>
      </c>
      <c r="J8" s="63">
        <f t="shared" si="0"/>
        <v>63</v>
      </c>
      <c r="K8" s="63">
        <f t="shared" si="0"/>
        <v>70</v>
      </c>
      <c r="N8">
        <f t="shared" si="2"/>
        <v>125</v>
      </c>
    </row>
    <row r="9" spans="2:14">
      <c r="B9" s="96">
        <v>8</v>
      </c>
      <c r="C9" s="63">
        <f t="shared" si="1"/>
        <v>16</v>
      </c>
      <c r="D9" s="63">
        <f t="shared" si="0"/>
        <v>24</v>
      </c>
      <c r="E9" s="63">
        <f t="shared" si="0"/>
        <v>32</v>
      </c>
      <c r="F9" s="63">
        <f t="shared" si="0"/>
        <v>40</v>
      </c>
      <c r="G9" s="63">
        <f t="shared" si="0"/>
        <v>48</v>
      </c>
      <c r="H9" s="63">
        <f t="shared" si="0"/>
        <v>56</v>
      </c>
      <c r="I9" s="63">
        <f t="shared" si="0"/>
        <v>64</v>
      </c>
      <c r="J9" s="63">
        <f t="shared" si="0"/>
        <v>72</v>
      </c>
      <c r="K9" s="63">
        <f t="shared" si="0"/>
        <v>80</v>
      </c>
      <c r="N9">
        <f t="shared" si="2"/>
        <v>135</v>
      </c>
    </row>
    <row r="10" spans="2:14">
      <c r="B10" s="96">
        <v>9</v>
      </c>
      <c r="C10" s="63">
        <f t="shared" si="1"/>
        <v>18</v>
      </c>
      <c r="D10" s="63">
        <f t="shared" si="0"/>
        <v>27</v>
      </c>
      <c r="E10" s="63">
        <f t="shared" si="0"/>
        <v>36</v>
      </c>
      <c r="F10" s="63">
        <f t="shared" si="0"/>
        <v>45</v>
      </c>
      <c r="G10" s="63">
        <f t="shared" si="0"/>
        <v>54</v>
      </c>
      <c r="H10" s="63">
        <f t="shared" si="0"/>
        <v>63</v>
      </c>
      <c r="I10" s="63">
        <f t="shared" si="0"/>
        <v>72</v>
      </c>
      <c r="J10" s="63">
        <f t="shared" si="0"/>
        <v>81</v>
      </c>
      <c r="K10" s="63">
        <f t="shared" si="0"/>
        <v>90</v>
      </c>
      <c r="N10">
        <f t="shared" si="2"/>
        <v>145</v>
      </c>
    </row>
    <row r="11" spans="2:14">
      <c r="B11" s="96">
        <v>10</v>
      </c>
      <c r="C11" s="63">
        <f t="shared" si="1"/>
        <v>20</v>
      </c>
      <c r="D11" s="63">
        <f t="shared" si="0"/>
        <v>30</v>
      </c>
      <c r="E11" s="63">
        <f t="shared" si="0"/>
        <v>40</v>
      </c>
      <c r="F11" s="63">
        <f t="shared" si="0"/>
        <v>50</v>
      </c>
      <c r="G11" s="63">
        <f t="shared" si="0"/>
        <v>60</v>
      </c>
      <c r="H11" s="63">
        <f t="shared" si="0"/>
        <v>70</v>
      </c>
      <c r="I11" s="63">
        <f t="shared" si="0"/>
        <v>80</v>
      </c>
      <c r="J11" s="63">
        <f t="shared" si="0"/>
        <v>90</v>
      </c>
      <c r="K11" s="63">
        <f t="shared" si="0"/>
        <v>100</v>
      </c>
      <c r="N11">
        <f t="shared" si="2"/>
        <v>45</v>
      </c>
    </row>
    <row r="12" spans="2:14">
      <c r="N12">
        <f t="shared" si="2"/>
        <v>45</v>
      </c>
    </row>
    <row r="13" spans="2:14">
      <c r="N13">
        <f t="shared" si="2"/>
        <v>54</v>
      </c>
    </row>
    <row r="14" spans="2:14">
      <c r="B14" s="234">
        <v>21</v>
      </c>
      <c r="C14">
        <v>1</v>
      </c>
      <c r="D14">
        <v>2</v>
      </c>
      <c r="E14">
        <v>3</v>
      </c>
      <c r="F14">
        <v>4</v>
      </c>
      <c r="G14">
        <v>5</v>
      </c>
      <c r="H14">
        <v>6</v>
      </c>
      <c r="I14">
        <v>7</v>
      </c>
      <c r="J14">
        <v>8</v>
      </c>
      <c r="K14">
        <v>9</v>
      </c>
      <c r="N14">
        <f t="shared" si="2"/>
        <v>243</v>
      </c>
    </row>
    <row r="15" spans="2:14">
      <c r="B15" s="234">
        <v>22</v>
      </c>
      <c r="C15">
        <f>$B15*C$14</f>
        <v>22</v>
      </c>
      <c r="D15">
        <f t="shared" ref="D15:K23" si="3">$B15*D$14</f>
        <v>44</v>
      </c>
      <c r="E15">
        <f t="shared" si="3"/>
        <v>66</v>
      </c>
      <c r="F15">
        <f t="shared" si="3"/>
        <v>88</v>
      </c>
      <c r="G15">
        <f t="shared" si="3"/>
        <v>110</v>
      </c>
      <c r="H15">
        <f t="shared" si="3"/>
        <v>132</v>
      </c>
      <c r="I15">
        <f t="shared" si="3"/>
        <v>154</v>
      </c>
      <c r="J15">
        <f t="shared" si="3"/>
        <v>176</v>
      </c>
      <c r="K15">
        <f t="shared" si="3"/>
        <v>198</v>
      </c>
    </row>
    <row r="16" spans="2:14">
      <c r="B16" s="234">
        <v>23</v>
      </c>
      <c r="C16">
        <f t="shared" ref="C16:C23" si="4">$B16*C$14</f>
        <v>23</v>
      </c>
      <c r="D16">
        <f t="shared" si="3"/>
        <v>46</v>
      </c>
      <c r="E16">
        <f t="shared" si="3"/>
        <v>69</v>
      </c>
      <c r="F16">
        <f t="shared" si="3"/>
        <v>92</v>
      </c>
      <c r="G16">
        <f t="shared" si="3"/>
        <v>115</v>
      </c>
      <c r="H16">
        <f t="shared" si="3"/>
        <v>138</v>
      </c>
      <c r="I16">
        <f t="shared" si="3"/>
        <v>161</v>
      </c>
      <c r="J16">
        <f t="shared" si="3"/>
        <v>184</v>
      </c>
      <c r="K16">
        <f t="shared" si="3"/>
        <v>207</v>
      </c>
    </row>
    <row r="17" spans="2:11">
      <c r="B17" s="234">
        <v>24</v>
      </c>
      <c r="C17">
        <f t="shared" si="4"/>
        <v>24</v>
      </c>
      <c r="D17">
        <f t="shared" si="3"/>
        <v>48</v>
      </c>
      <c r="E17">
        <f t="shared" si="3"/>
        <v>72</v>
      </c>
      <c r="F17">
        <f t="shared" si="3"/>
        <v>96</v>
      </c>
      <c r="G17">
        <f t="shared" si="3"/>
        <v>120</v>
      </c>
      <c r="H17">
        <f t="shared" si="3"/>
        <v>144</v>
      </c>
      <c r="I17">
        <f t="shared" si="3"/>
        <v>168</v>
      </c>
      <c r="J17">
        <f t="shared" si="3"/>
        <v>192</v>
      </c>
      <c r="K17">
        <f t="shared" si="3"/>
        <v>216</v>
      </c>
    </row>
    <row r="18" spans="2:11">
      <c r="B18" s="234">
        <v>25</v>
      </c>
      <c r="C18">
        <f t="shared" si="4"/>
        <v>25</v>
      </c>
      <c r="D18">
        <f t="shared" si="3"/>
        <v>50</v>
      </c>
      <c r="E18">
        <f t="shared" si="3"/>
        <v>75</v>
      </c>
      <c r="F18">
        <f t="shared" si="3"/>
        <v>100</v>
      </c>
      <c r="G18">
        <f t="shared" si="3"/>
        <v>125</v>
      </c>
      <c r="H18">
        <f t="shared" si="3"/>
        <v>150</v>
      </c>
      <c r="I18">
        <f t="shared" si="3"/>
        <v>175</v>
      </c>
      <c r="J18">
        <f t="shared" si="3"/>
        <v>200</v>
      </c>
      <c r="K18">
        <f t="shared" si="3"/>
        <v>225</v>
      </c>
    </row>
    <row r="19" spans="2:11">
      <c r="B19" s="234">
        <v>26</v>
      </c>
      <c r="C19">
        <f t="shared" si="4"/>
        <v>26</v>
      </c>
      <c r="D19">
        <f t="shared" si="3"/>
        <v>52</v>
      </c>
      <c r="E19">
        <f t="shared" si="3"/>
        <v>78</v>
      </c>
      <c r="F19">
        <f t="shared" si="3"/>
        <v>104</v>
      </c>
      <c r="G19">
        <f t="shared" si="3"/>
        <v>130</v>
      </c>
      <c r="H19">
        <f t="shared" si="3"/>
        <v>156</v>
      </c>
      <c r="I19">
        <f t="shared" si="3"/>
        <v>182</v>
      </c>
      <c r="J19">
        <f t="shared" si="3"/>
        <v>208</v>
      </c>
      <c r="K19">
        <f t="shared" si="3"/>
        <v>234</v>
      </c>
    </row>
    <row r="20" spans="2:11">
      <c r="B20" s="234">
        <v>27</v>
      </c>
      <c r="C20">
        <f t="shared" si="4"/>
        <v>27</v>
      </c>
      <c r="D20">
        <f t="shared" si="3"/>
        <v>54</v>
      </c>
      <c r="E20">
        <f t="shared" si="3"/>
        <v>81</v>
      </c>
      <c r="F20">
        <f t="shared" si="3"/>
        <v>108</v>
      </c>
      <c r="G20">
        <f t="shared" si="3"/>
        <v>135</v>
      </c>
      <c r="H20">
        <f t="shared" si="3"/>
        <v>162</v>
      </c>
      <c r="I20">
        <f t="shared" si="3"/>
        <v>189</v>
      </c>
      <c r="J20">
        <f t="shared" si="3"/>
        <v>216</v>
      </c>
      <c r="K20">
        <f t="shared" si="3"/>
        <v>243</v>
      </c>
    </row>
    <row r="21" spans="2:11">
      <c r="B21" s="234">
        <v>28</v>
      </c>
      <c r="C21">
        <f t="shared" si="4"/>
        <v>28</v>
      </c>
      <c r="D21">
        <f t="shared" si="3"/>
        <v>56</v>
      </c>
      <c r="E21">
        <f t="shared" si="3"/>
        <v>84</v>
      </c>
      <c r="F21">
        <f t="shared" si="3"/>
        <v>112</v>
      </c>
      <c r="G21">
        <f t="shared" si="3"/>
        <v>140</v>
      </c>
      <c r="H21">
        <f t="shared" si="3"/>
        <v>168</v>
      </c>
      <c r="I21">
        <f t="shared" si="3"/>
        <v>196</v>
      </c>
      <c r="J21">
        <f t="shared" si="3"/>
        <v>224</v>
      </c>
      <c r="K21">
        <f t="shared" si="3"/>
        <v>252</v>
      </c>
    </row>
    <row r="22" spans="2:11">
      <c r="B22" s="234">
        <v>29</v>
      </c>
      <c r="C22">
        <f t="shared" si="4"/>
        <v>29</v>
      </c>
      <c r="D22">
        <f t="shared" si="3"/>
        <v>58</v>
      </c>
      <c r="E22">
        <f t="shared" si="3"/>
        <v>87</v>
      </c>
      <c r="F22">
        <f t="shared" si="3"/>
        <v>116</v>
      </c>
      <c r="G22">
        <f t="shared" si="3"/>
        <v>145</v>
      </c>
      <c r="H22">
        <f t="shared" si="3"/>
        <v>174</v>
      </c>
      <c r="I22">
        <f t="shared" si="3"/>
        <v>203</v>
      </c>
      <c r="J22">
        <f t="shared" si="3"/>
        <v>232</v>
      </c>
      <c r="K22">
        <f t="shared" si="3"/>
        <v>261</v>
      </c>
    </row>
    <row r="23" spans="2:11">
      <c r="B23" s="234">
        <v>30</v>
      </c>
      <c r="C23">
        <f t="shared" si="4"/>
        <v>30</v>
      </c>
      <c r="D23">
        <f t="shared" si="3"/>
        <v>60</v>
      </c>
      <c r="E23">
        <f t="shared" si="3"/>
        <v>90</v>
      </c>
      <c r="F23">
        <f t="shared" si="3"/>
        <v>120</v>
      </c>
      <c r="G23">
        <f t="shared" si="3"/>
        <v>150</v>
      </c>
      <c r="H23">
        <f t="shared" si="3"/>
        <v>180</v>
      </c>
      <c r="I23">
        <f t="shared" si="3"/>
        <v>210</v>
      </c>
      <c r="J23">
        <f t="shared" si="3"/>
        <v>240</v>
      </c>
      <c r="K23">
        <f t="shared" si="3"/>
        <v>270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28"/>
  <sheetViews>
    <sheetView topLeftCell="A4" zoomScale="120" zoomScaleNormal="120" workbookViewId="0">
      <selection activeCell="C33" sqref="C33"/>
    </sheetView>
  </sheetViews>
  <sheetFormatPr defaultColWidth="8.77734375" defaultRowHeight="15"/>
  <cols>
    <col min="1" max="1" width="9.77734375" style="202" customWidth="1"/>
    <col min="2" max="2" width="10.77734375" style="117" customWidth="1"/>
    <col min="3" max="3" width="9.21875" style="117" customWidth="1"/>
    <col min="4" max="5" width="8.77734375" style="117"/>
    <col min="6" max="6" width="10.109375" style="117" bestFit="1" customWidth="1"/>
    <col min="7" max="7" width="10" style="117" customWidth="1"/>
    <col min="8" max="16384" width="8.77734375" style="202"/>
  </cols>
  <sheetData>
    <row r="1" spans="1:7" ht="15.75">
      <c r="A1" s="199" t="s">
        <v>37</v>
      </c>
      <c r="B1" s="200" t="s">
        <v>97</v>
      </c>
      <c r="C1" s="200" t="s">
        <v>715</v>
      </c>
      <c r="D1" s="200" t="s">
        <v>96</v>
      </c>
      <c r="E1" s="200" t="s">
        <v>95</v>
      </c>
      <c r="F1" s="200" t="s">
        <v>94</v>
      </c>
      <c r="G1" s="200" t="s">
        <v>93</v>
      </c>
    </row>
    <row r="2" spans="1:7">
      <c r="A2" s="201" t="s">
        <v>81</v>
      </c>
      <c r="C2" s="27"/>
      <c r="D2" s="27"/>
      <c r="E2" s="27"/>
      <c r="F2" s="27"/>
      <c r="G2" s="27"/>
    </row>
    <row r="3" spans="1:7">
      <c r="A3" s="201" t="s">
        <v>80</v>
      </c>
      <c r="B3" s="27">
        <v>4</v>
      </c>
      <c r="C3" s="27"/>
      <c r="D3" s="27"/>
      <c r="E3" s="27"/>
      <c r="F3" s="27"/>
      <c r="G3" s="27"/>
    </row>
    <row r="4" spans="1:7">
      <c r="A4" s="201" t="s">
        <v>79</v>
      </c>
      <c r="B4" s="27"/>
      <c r="C4" s="27"/>
      <c r="D4" s="27"/>
      <c r="E4" s="27">
        <v>5</v>
      </c>
      <c r="F4" s="27"/>
      <c r="G4" s="27"/>
    </row>
    <row r="5" spans="1:7">
      <c r="A5" s="201" t="s">
        <v>78</v>
      </c>
      <c r="B5" s="27"/>
      <c r="C5" s="27">
        <v>15000</v>
      </c>
      <c r="D5" s="27"/>
      <c r="E5" s="27"/>
      <c r="F5" s="27"/>
      <c r="G5" s="27"/>
    </row>
    <row r="6" spans="1:7">
      <c r="A6" s="201" t="s">
        <v>77</v>
      </c>
      <c r="B6" s="27">
        <v>-5</v>
      </c>
      <c r="C6" s="27"/>
      <c r="D6" s="27"/>
      <c r="E6" s="27"/>
      <c r="F6" s="27"/>
      <c r="G6" s="27">
        <v>101</v>
      </c>
    </row>
    <row r="7" spans="1:7">
      <c r="A7" s="201" t="s">
        <v>76</v>
      </c>
      <c r="B7" s="27"/>
      <c r="C7" s="27"/>
      <c r="D7" s="27"/>
      <c r="E7" s="27"/>
      <c r="F7" s="27"/>
      <c r="G7" s="27"/>
    </row>
    <row r="8" spans="1:7">
      <c r="A8" s="201" t="s">
        <v>75</v>
      </c>
      <c r="B8" s="27"/>
      <c r="C8" s="27"/>
      <c r="D8" s="27"/>
      <c r="E8" s="27"/>
      <c r="F8" s="27"/>
      <c r="G8" s="27"/>
    </row>
    <row r="9" spans="1:7">
      <c r="A9" s="201" t="s">
        <v>74</v>
      </c>
      <c r="B9" s="27">
        <v>2</v>
      </c>
      <c r="C9" s="27"/>
      <c r="D9" s="27"/>
      <c r="E9" s="27"/>
      <c r="F9" s="27"/>
      <c r="G9" s="27"/>
    </row>
    <row r="10" spans="1:7">
      <c r="A10" s="201" t="s">
        <v>73</v>
      </c>
      <c r="B10" s="27"/>
      <c r="C10" s="27">
        <v>150</v>
      </c>
      <c r="D10" s="27">
        <v>1</v>
      </c>
      <c r="E10" s="27"/>
      <c r="F10" s="27">
        <v>0</v>
      </c>
      <c r="G10" s="27"/>
    </row>
    <row r="11" spans="1:7">
      <c r="A11" s="201" t="s">
        <v>72</v>
      </c>
      <c r="B11" s="27"/>
      <c r="C11" s="27"/>
      <c r="D11" s="27"/>
      <c r="E11" s="27"/>
      <c r="F11" s="27"/>
      <c r="G11" s="27"/>
    </row>
    <row r="12" spans="1:7">
      <c r="A12" s="201" t="s">
        <v>92</v>
      </c>
      <c r="B12" s="27"/>
      <c r="C12" s="27"/>
      <c r="D12" s="27"/>
      <c r="E12" s="27"/>
      <c r="F12" s="27"/>
      <c r="G12" s="27"/>
    </row>
    <row r="13" spans="1:7">
      <c r="A13" s="201" t="s">
        <v>91</v>
      </c>
      <c r="B13" s="27"/>
      <c r="C13" s="27"/>
      <c r="D13" s="27"/>
      <c r="E13" s="27"/>
      <c r="F13" s="27"/>
      <c r="G13" s="27"/>
    </row>
    <row r="14" spans="1:7">
      <c r="A14" s="201" t="s">
        <v>90</v>
      </c>
      <c r="B14" s="27"/>
      <c r="C14" s="27"/>
      <c r="D14" s="27"/>
      <c r="E14" s="27"/>
      <c r="F14" s="27"/>
      <c r="G14" s="27"/>
    </row>
    <row r="15" spans="1:7">
      <c r="A15" s="201" t="s">
        <v>89</v>
      </c>
      <c r="B15" s="27"/>
      <c r="C15" s="27"/>
      <c r="D15" s="27"/>
      <c r="E15" s="27"/>
      <c r="F15" s="27"/>
      <c r="G15" s="27"/>
    </row>
    <row r="16" spans="1:7">
      <c r="A16" s="201" t="s">
        <v>88</v>
      </c>
      <c r="B16" s="27"/>
      <c r="C16" s="27"/>
      <c r="D16" s="27"/>
      <c r="E16" s="27"/>
      <c r="F16" s="27"/>
      <c r="G16" s="27">
        <v>150</v>
      </c>
    </row>
    <row r="17" spans="1:7">
      <c r="A17" s="201" t="s">
        <v>87</v>
      </c>
      <c r="B17" s="27"/>
      <c r="C17" s="27"/>
      <c r="D17" s="27"/>
      <c r="E17" s="27"/>
      <c r="F17" s="27"/>
      <c r="G17" s="27"/>
    </row>
    <row r="18" spans="1:7">
      <c r="A18" s="201" t="s">
        <v>86</v>
      </c>
      <c r="B18" s="27"/>
      <c r="C18" s="27"/>
      <c r="D18" s="27"/>
      <c r="E18" s="27"/>
      <c r="F18" s="27"/>
      <c r="G18" s="27"/>
    </row>
    <row r="19" spans="1:7">
      <c r="A19" s="201" t="s">
        <v>85</v>
      </c>
      <c r="B19" s="27"/>
      <c r="C19" s="27"/>
      <c r="D19" s="27"/>
      <c r="E19" s="27"/>
      <c r="F19" s="27"/>
      <c r="G19" s="27"/>
    </row>
    <row r="20" spans="1:7">
      <c r="A20" s="201" t="s">
        <v>84</v>
      </c>
      <c r="B20" s="27"/>
      <c r="C20" s="27"/>
      <c r="D20" s="27"/>
      <c r="E20" s="27"/>
      <c r="F20" s="27"/>
      <c r="G20" s="27"/>
    </row>
    <row r="21" spans="1:7">
      <c r="A21" s="201" t="s">
        <v>83</v>
      </c>
      <c r="B21" s="27"/>
      <c r="C21" s="27"/>
      <c r="D21" s="27"/>
      <c r="E21" s="27"/>
      <c r="F21" s="27"/>
      <c r="G21" s="27"/>
    </row>
    <row r="25" spans="1:7">
      <c r="B25" s="203"/>
      <c r="F25" s="203"/>
    </row>
    <row r="28" spans="1:7">
      <c r="B28" s="203"/>
      <c r="F28" s="203"/>
    </row>
  </sheetData>
  <dataValidations count="1">
    <dataValidation type="whole" allowBlank="1" showInputMessage="1" showErrorMessage="1" sqref="B2:G21" xr:uid="{9138B1C4-9A91-4897-B270-44168AA25A6A}">
      <formula1>1</formula1>
      <formula2>100</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2:G11"/>
  <sheetViews>
    <sheetView topLeftCell="D1" zoomScale="120" zoomScaleNormal="120" workbookViewId="0">
      <selection activeCell="G3" sqref="G3"/>
    </sheetView>
  </sheetViews>
  <sheetFormatPr defaultColWidth="8.77734375" defaultRowHeight="15"/>
  <cols>
    <col min="1" max="1" width="13.88671875" style="100" customWidth="1"/>
    <col min="2" max="2" width="13.21875" style="100" customWidth="1"/>
    <col min="3" max="4" width="14.44140625" style="100" customWidth="1"/>
    <col min="5" max="5" width="14.6640625" style="100" customWidth="1"/>
    <col min="6" max="6" width="18.5546875" style="100" bestFit="1" customWidth="1"/>
    <col min="7" max="7" width="20.88671875" style="61" customWidth="1"/>
    <col min="8" max="16384" width="8.77734375" style="100"/>
  </cols>
  <sheetData>
    <row r="2" spans="1:7" ht="15.75">
      <c r="A2" s="103" t="s">
        <v>573</v>
      </c>
      <c r="B2" s="103" t="s">
        <v>418</v>
      </c>
      <c r="C2" s="103" t="s">
        <v>419</v>
      </c>
      <c r="D2" s="103" t="s">
        <v>519</v>
      </c>
      <c r="F2" s="103" t="s">
        <v>772</v>
      </c>
      <c r="G2" s="235">
        <f ca="1">NOW()</f>
        <v>44832.811134953707</v>
      </c>
    </row>
    <row r="3" spans="1:7" ht="15.75">
      <c r="A3" s="63">
        <v>5</v>
      </c>
      <c r="B3" s="63">
        <v>6</v>
      </c>
      <c r="C3" s="63">
        <v>2010</v>
      </c>
      <c r="D3" s="102">
        <f>DATE(C3,B3,A3)</f>
        <v>40334</v>
      </c>
      <c r="F3" s="103" t="s">
        <v>771</v>
      </c>
      <c r="G3" s="102">
        <f ca="1">TODAY()</f>
        <v>44832</v>
      </c>
    </row>
    <row r="4" spans="1:7">
      <c r="A4" s="63">
        <v>9</v>
      </c>
      <c r="B4" s="63">
        <v>9</v>
      </c>
      <c r="C4" s="63">
        <v>2010</v>
      </c>
      <c r="D4" s="102">
        <f>DATE(C4,B4,A4)</f>
        <v>40430</v>
      </c>
      <c r="F4" s="101"/>
      <c r="G4" s="236"/>
    </row>
    <row r="5" spans="1:7" ht="15.75">
      <c r="F5" s="103" t="s">
        <v>419</v>
      </c>
      <c r="G5" s="63">
        <f ca="1">YEAR(G2)</f>
        <v>2022</v>
      </c>
    </row>
    <row r="6" spans="1:7" ht="15.75">
      <c r="F6" s="103" t="s">
        <v>418</v>
      </c>
      <c r="G6" s="63">
        <f ca="1">MONTH(G2)</f>
        <v>9</v>
      </c>
    </row>
    <row r="7" spans="1:7" ht="15.75">
      <c r="F7" s="103" t="s">
        <v>573</v>
      </c>
      <c r="G7" s="63">
        <f ca="1">DAY(G2)</f>
        <v>28</v>
      </c>
    </row>
    <row r="8" spans="1:7" ht="15.75">
      <c r="A8" s="103" t="s">
        <v>519</v>
      </c>
      <c r="B8" s="103" t="s">
        <v>573</v>
      </c>
      <c r="C8" s="103" t="s">
        <v>418</v>
      </c>
      <c r="D8" s="103" t="s">
        <v>419</v>
      </c>
      <c r="F8" s="103" t="s">
        <v>773</v>
      </c>
      <c r="G8" s="63">
        <f ca="1">HOUR(G2)</f>
        <v>19</v>
      </c>
    </row>
    <row r="9" spans="1:7" ht="15.75">
      <c r="A9" s="102">
        <v>41100</v>
      </c>
      <c r="B9" s="63">
        <f>DAY(A9)</f>
        <v>10</v>
      </c>
      <c r="C9" s="63">
        <f>MONTH(A9)</f>
        <v>7</v>
      </c>
      <c r="D9" s="63">
        <f>YEAR(A9)</f>
        <v>2012</v>
      </c>
      <c r="F9" s="103" t="s">
        <v>774</v>
      </c>
      <c r="G9" s="63">
        <f ca="1">MINUTE(G2)</f>
        <v>28</v>
      </c>
    </row>
    <row r="10" spans="1:7" ht="15.75">
      <c r="A10" s="102">
        <v>41167</v>
      </c>
      <c r="B10" s="63">
        <f t="shared" ref="B10:B11" si="0">DAY(A10)</f>
        <v>15</v>
      </c>
      <c r="C10" s="63">
        <f t="shared" ref="C10:C11" si="1">MONTH(A10)</f>
        <v>9</v>
      </c>
      <c r="D10" s="63">
        <f t="shared" ref="D10:D11" si="2">YEAR(A10)</f>
        <v>2012</v>
      </c>
      <c r="F10" s="103" t="s">
        <v>775</v>
      </c>
      <c r="G10" s="237">
        <f ca="1">SECOND(G2)</f>
        <v>2</v>
      </c>
    </row>
    <row r="11" spans="1:7">
      <c r="A11" s="102">
        <v>26954</v>
      </c>
      <c r="B11" s="63">
        <f t="shared" si="0"/>
        <v>17</v>
      </c>
      <c r="C11" s="63">
        <f t="shared" si="1"/>
        <v>10</v>
      </c>
      <c r="D11" s="63">
        <f t="shared" si="2"/>
        <v>1973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L23"/>
  <sheetViews>
    <sheetView zoomScale="120" zoomScaleNormal="120" workbookViewId="0">
      <selection activeCell="B24" sqref="B24"/>
    </sheetView>
  </sheetViews>
  <sheetFormatPr defaultColWidth="14.77734375" defaultRowHeight="15"/>
  <cols>
    <col min="1" max="1" width="14.77734375" style="114"/>
    <col min="2" max="2" width="15.21875" style="114" bestFit="1" customWidth="1"/>
    <col min="3" max="3" width="14.77734375" style="114"/>
    <col min="4" max="4" width="29.109375" style="114" customWidth="1"/>
    <col min="5" max="5" width="28.5546875" style="114" customWidth="1"/>
    <col min="6" max="16384" width="14.77734375" style="114"/>
  </cols>
  <sheetData>
    <row r="1" spans="1:12" s="117" customFormat="1" ht="16.899999999999999" customHeight="1">
      <c r="A1" s="115" t="s">
        <v>376</v>
      </c>
      <c r="B1" s="115" t="s">
        <v>375</v>
      </c>
      <c r="C1" s="116" t="s">
        <v>676</v>
      </c>
      <c r="D1" s="116" t="s">
        <v>678</v>
      </c>
      <c r="E1" s="116" t="s">
        <v>677</v>
      </c>
    </row>
    <row r="2" spans="1:12">
      <c r="A2" s="118" t="s">
        <v>368</v>
      </c>
      <c r="B2" s="118" t="s">
        <v>367</v>
      </c>
      <c r="C2" s="119">
        <v>29577</v>
      </c>
      <c r="D2" s="120">
        <f>DATEDIF(C2,DATE(2013,3,31),"Y")</f>
        <v>32</v>
      </c>
      <c r="E2" s="120">
        <f ca="1">DATEDIF(C2,TODAY(),"Y")</f>
        <v>41</v>
      </c>
    </row>
    <row r="3" spans="1:12">
      <c r="A3" s="118" t="s">
        <v>365</v>
      </c>
      <c r="B3" s="118" t="s">
        <v>364</v>
      </c>
      <c r="C3" s="119">
        <v>30500</v>
      </c>
      <c r="D3" s="120">
        <f t="shared" ref="D3:D7" si="0">DATEDIF(C3,DATE(2013,3,31),"Y")</f>
        <v>29</v>
      </c>
      <c r="E3" s="120">
        <f t="shared" ref="E3:E7" ca="1" si="1">DATEDIF(C3,TODAY(),"Y")</f>
        <v>39</v>
      </c>
    </row>
    <row r="4" spans="1:12">
      <c r="A4" s="118" t="s">
        <v>362</v>
      </c>
      <c r="B4" s="118" t="s">
        <v>184</v>
      </c>
      <c r="C4" s="119">
        <v>32348</v>
      </c>
      <c r="D4" s="120">
        <f t="shared" si="0"/>
        <v>24</v>
      </c>
      <c r="E4" s="120">
        <f t="shared" ca="1" si="1"/>
        <v>34</v>
      </c>
      <c r="L4" s="121"/>
    </row>
    <row r="5" spans="1:12">
      <c r="A5" s="118" t="s">
        <v>360</v>
      </c>
      <c r="B5" s="118" t="s">
        <v>107</v>
      </c>
      <c r="C5" s="119">
        <v>31568</v>
      </c>
      <c r="D5" s="120">
        <f t="shared" si="0"/>
        <v>26</v>
      </c>
      <c r="E5" s="120">
        <f t="shared" ca="1" si="1"/>
        <v>36</v>
      </c>
    </row>
    <row r="6" spans="1:12">
      <c r="A6" s="118" t="s">
        <v>358</v>
      </c>
      <c r="B6" s="118" t="s">
        <v>357</v>
      </c>
      <c r="C6" s="119">
        <v>29747</v>
      </c>
      <c r="D6" s="120">
        <f t="shared" si="0"/>
        <v>31</v>
      </c>
      <c r="E6" s="120">
        <f t="shared" ca="1" si="1"/>
        <v>41</v>
      </c>
    </row>
    <row r="7" spans="1:12">
      <c r="A7" s="122" t="s">
        <v>777</v>
      </c>
      <c r="B7" s="122" t="s">
        <v>778</v>
      </c>
      <c r="C7" s="123">
        <v>35062</v>
      </c>
      <c r="D7" s="120">
        <f t="shared" si="0"/>
        <v>17</v>
      </c>
      <c r="E7" s="120">
        <f t="shared" ca="1" si="1"/>
        <v>26</v>
      </c>
    </row>
    <row r="8" spans="1:12">
      <c r="A8" s="122"/>
      <c r="B8" s="122"/>
      <c r="C8" s="123"/>
    </row>
    <row r="9" spans="1:12">
      <c r="A9" s="122"/>
      <c r="B9" s="122"/>
      <c r="C9" s="123"/>
    </row>
    <row r="10" spans="1:12">
      <c r="A10" s="122"/>
      <c r="B10" s="122"/>
      <c r="C10" s="123"/>
      <c r="D10" s="295" t="s">
        <v>678</v>
      </c>
      <c r="E10" s="296"/>
      <c r="F10" s="296"/>
    </row>
    <row r="11" spans="1:12">
      <c r="A11" s="115" t="s">
        <v>376</v>
      </c>
      <c r="B11" s="115" t="s">
        <v>375</v>
      </c>
      <c r="C11" s="116" t="s">
        <v>676</v>
      </c>
      <c r="D11" s="238" t="s">
        <v>779</v>
      </c>
      <c r="E11" s="114" t="s">
        <v>780</v>
      </c>
      <c r="F11" s="114" t="s">
        <v>781</v>
      </c>
    </row>
    <row r="12" spans="1:12">
      <c r="A12" s="118" t="s">
        <v>368</v>
      </c>
      <c r="B12" s="118" t="s">
        <v>367</v>
      </c>
      <c r="C12" s="119">
        <v>29577</v>
      </c>
      <c r="D12" s="120">
        <f>DATEDIF(C12,DATE(2013,3,31),"Y")</f>
        <v>32</v>
      </c>
      <c r="E12" s="114">
        <f ca="1">DATEDIF(C12,TODAY(),"YM")</f>
        <v>9</v>
      </c>
      <c r="F12" s="114">
        <f ca="1">DATEDIF(C12,TODAY(),"md")</f>
        <v>6</v>
      </c>
    </row>
    <row r="13" spans="1:12">
      <c r="A13" s="118" t="s">
        <v>365</v>
      </c>
      <c r="B13" s="118" t="s">
        <v>364</v>
      </c>
      <c r="C13" s="119">
        <v>30500</v>
      </c>
      <c r="D13" s="120">
        <f t="shared" ref="D13:D17" si="2">DATEDIF(C13,DATE(2013,3,31),"Y")</f>
        <v>29</v>
      </c>
      <c r="E13" s="114">
        <f t="shared" ref="E13:E17" ca="1" si="3">DATEDIF(C13,TODAY(),"YM")</f>
        <v>2</v>
      </c>
      <c r="F13" s="114">
        <f t="shared" ref="F13:F17" ca="1" si="4">DATEDIF(C13,TODAY(),"md")</f>
        <v>25</v>
      </c>
    </row>
    <row r="14" spans="1:12">
      <c r="A14" s="118" t="s">
        <v>362</v>
      </c>
      <c r="B14" s="118" t="s">
        <v>184</v>
      </c>
      <c r="C14" s="119">
        <v>32348</v>
      </c>
      <c r="D14" s="120">
        <f t="shared" si="2"/>
        <v>24</v>
      </c>
      <c r="E14" s="114">
        <f t="shared" ca="1" si="3"/>
        <v>2</v>
      </c>
      <c r="F14" s="114">
        <f t="shared" ca="1" si="4"/>
        <v>4</v>
      </c>
    </row>
    <row r="15" spans="1:12">
      <c r="A15" s="118" t="s">
        <v>360</v>
      </c>
      <c r="B15" s="118" t="s">
        <v>107</v>
      </c>
      <c r="C15" s="119">
        <v>31568</v>
      </c>
      <c r="D15" s="120">
        <f t="shared" si="2"/>
        <v>26</v>
      </c>
      <c r="E15" s="114">
        <f t="shared" ca="1" si="3"/>
        <v>3</v>
      </c>
      <c r="F15" s="114">
        <f t="shared" ca="1" si="4"/>
        <v>23</v>
      </c>
    </row>
    <row r="16" spans="1:12">
      <c r="A16" s="118" t="s">
        <v>358</v>
      </c>
      <c r="B16" s="118" t="s">
        <v>357</v>
      </c>
      <c r="C16" s="119">
        <v>29747</v>
      </c>
      <c r="D16" s="120">
        <f t="shared" si="2"/>
        <v>31</v>
      </c>
      <c r="E16" s="114">
        <f t="shared" ca="1" si="3"/>
        <v>3</v>
      </c>
      <c r="F16" s="114">
        <f t="shared" ca="1" si="4"/>
        <v>18</v>
      </c>
    </row>
    <row r="17" spans="1:6">
      <c r="A17" s="122" t="s">
        <v>777</v>
      </c>
      <c r="B17" s="122" t="s">
        <v>778</v>
      </c>
      <c r="C17" s="123">
        <v>35062</v>
      </c>
      <c r="D17" s="120">
        <f t="shared" si="2"/>
        <v>17</v>
      </c>
      <c r="E17" s="114">
        <f t="shared" ca="1" si="3"/>
        <v>8</v>
      </c>
      <c r="F17" s="114">
        <f t="shared" ca="1" si="4"/>
        <v>30</v>
      </c>
    </row>
    <row r="23" spans="1:6">
      <c r="B23" s="241">
        <f ca="1">NOW()</f>
        <v>44832.811134953707</v>
      </c>
    </row>
  </sheetData>
  <mergeCells count="1">
    <mergeCell ref="D10:F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L95"/>
  <sheetViews>
    <sheetView topLeftCell="F4" zoomScale="120" zoomScaleNormal="120" workbookViewId="0">
      <selection activeCell="L4" sqref="L4"/>
    </sheetView>
  </sheetViews>
  <sheetFormatPr defaultColWidth="8.77734375" defaultRowHeight="15"/>
  <cols>
    <col min="1" max="2" width="8.77734375" style="104"/>
    <col min="3" max="3" width="10.6640625" style="104" customWidth="1"/>
    <col min="4" max="4" width="16.21875" style="104" bestFit="1" customWidth="1"/>
    <col min="5" max="5" width="8.77734375" style="104"/>
    <col min="6" max="6" width="11.88671875" style="104" customWidth="1"/>
    <col min="7" max="8" width="8.77734375" style="104"/>
    <col min="9" max="10" width="12.44140625" style="104" customWidth="1"/>
    <col min="11" max="11" width="11.109375" style="104" customWidth="1"/>
    <col min="12" max="12" width="12.77734375" style="104" customWidth="1"/>
    <col min="13" max="16384" width="8.77734375" style="104"/>
  </cols>
  <sheetData>
    <row r="1" spans="1:12" s="59" customFormat="1" ht="15.75">
      <c r="A1" s="196" t="s">
        <v>378</v>
      </c>
      <c r="B1" s="196" t="s">
        <v>377</v>
      </c>
      <c r="C1" s="196" t="s">
        <v>376</v>
      </c>
      <c r="D1" s="195" t="s">
        <v>770</v>
      </c>
      <c r="E1" s="196" t="s">
        <v>375</v>
      </c>
      <c r="F1" s="196" t="s">
        <v>374</v>
      </c>
      <c r="G1" s="196" t="s">
        <v>373</v>
      </c>
      <c r="H1" s="196" t="s">
        <v>372</v>
      </c>
      <c r="I1" s="197" t="s">
        <v>371</v>
      </c>
      <c r="J1" s="197" t="s">
        <v>370</v>
      </c>
    </row>
    <row r="2" spans="1:12">
      <c r="A2" s="124">
        <v>1</v>
      </c>
      <c r="B2" s="124" t="s">
        <v>369</v>
      </c>
      <c r="C2" s="124" t="s">
        <v>574</v>
      </c>
      <c r="D2" s="124" t="str">
        <f>CLEAN(C2)</f>
        <v>Sara</v>
      </c>
      <c r="E2" s="124" t="s">
        <v>367</v>
      </c>
      <c r="F2" s="125">
        <v>34690</v>
      </c>
      <c r="G2" s="124" t="s">
        <v>110</v>
      </c>
      <c r="H2" s="126">
        <v>35.5</v>
      </c>
      <c r="I2" s="127">
        <v>45</v>
      </c>
      <c r="J2" s="127">
        <f t="shared" ref="J2:J65" si="0">H2*I2</f>
        <v>1597.5</v>
      </c>
      <c r="K2" s="264"/>
    </row>
    <row r="3" spans="1:12">
      <c r="A3" s="124">
        <v>2</v>
      </c>
      <c r="B3" s="124" t="s">
        <v>366</v>
      </c>
      <c r="C3" s="124" t="s">
        <v>575</v>
      </c>
      <c r="D3" s="124" t="str">
        <f t="shared" ref="D3:D66" si="1">CLEAN(C3)</f>
        <v>Sean</v>
      </c>
      <c r="E3" s="124" t="s">
        <v>364</v>
      </c>
      <c r="F3" s="125">
        <v>34153</v>
      </c>
      <c r="G3" s="124" t="s">
        <v>121</v>
      </c>
      <c r="H3" s="126">
        <v>35.5</v>
      </c>
      <c r="I3" s="127">
        <v>28.3</v>
      </c>
      <c r="J3" s="127">
        <f t="shared" si="0"/>
        <v>1004.65</v>
      </c>
      <c r="K3" s="104" t="s">
        <v>833</v>
      </c>
      <c r="L3" s="104" t="str">
        <f>SUBSTITUTE(K3,"@#$%^","")</f>
        <v>Sara</v>
      </c>
    </row>
    <row r="4" spans="1:12">
      <c r="A4" s="124">
        <v>3</v>
      </c>
      <c r="B4" s="124" t="s">
        <v>363</v>
      </c>
      <c r="C4" s="124" t="s">
        <v>576</v>
      </c>
      <c r="D4" s="124" t="str">
        <f t="shared" si="1"/>
        <v>Colleen</v>
      </c>
      <c r="E4" s="124" t="s">
        <v>184</v>
      </c>
      <c r="F4" s="125">
        <v>36000</v>
      </c>
      <c r="G4" s="124" t="s">
        <v>125</v>
      </c>
      <c r="H4" s="126">
        <v>42</v>
      </c>
      <c r="I4" s="127">
        <v>31.75</v>
      </c>
      <c r="J4" s="127">
        <f t="shared" si="0"/>
        <v>1333.5</v>
      </c>
      <c r="L4" s="104" t="str">
        <f>CLEAN(K3)</f>
        <v>Sara@#$%^</v>
      </c>
    </row>
    <row r="5" spans="1:12">
      <c r="A5" s="124">
        <v>4</v>
      </c>
      <c r="B5" s="124" t="s">
        <v>361</v>
      </c>
      <c r="C5" s="124" t="s">
        <v>577</v>
      </c>
      <c r="D5" s="124" t="str">
        <f t="shared" si="1"/>
        <v>Teri</v>
      </c>
      <c r="E5" s="124" t="s">
        <v>107</v>
      </c>
      <c r="F5" s="125">
        <v>35221</v>
      </c>
      <c r="G5" s="124" t="s">
        <v>106</v>
      </c>
      <c r="H5" s="126">
        <v>40</v>
      </c>
      <c r="I5" s="127">
        <v>23.75</v>
      </c>
      <c r="J5" s="127">
        <f t="shared" si="0"/>
        <v>950</v>
      </c>
    </row>
    <row r="6" spans="1:12">
      <c r="A6" s="124">
        <v>5</v>
      </c>
      <c r="B6" s="124" t="s">
        <v>359</v>
      </c>
      <c r="C6" s="124" t="s">
        <v>578</v>
      </c>
      <c r="D6" s="124" t="str">
        <f t="shared" si="1"/>
        <v>Frank</v>
      </c>
      <c r="E6" s="124" t="s">
        <v>357</v>
      </c>
      <c r="F6" s="125">
        <v>33399</v>
      </c>
      <c r="G6" s="124" t="s">
        <v>125</v>
      </c>
      <c r="H6" s="126">
        <v>40</v>
      </c>
      <c r="I6" s="127">
        <v>27.6</v>
      </c>
      <c r="J6" s="127">
        <f t="shared" si="0"/>
        <v>1104</v>
      </c>
    </row>
    <row r="7" spans="1:12">
      <c r="A7" s="124">
        <v>6</v>
      </c>
      <c r="B7" s="124" t="s">
        <v>356</v>
      </c>
      <c r="C7" s="124" t="s">
        <v>579</v>
      </c>
      <c r="D7" s="124" t="str">
        <f t="shared" si="1"/>
        <v>Kristen</v>
      </c>
      <c r="E7" s="124" t="s">
        <v>354</v>
      </c>
      <c r="F7" s="125">
        <v>34853</v>
      </c>
      <c r="G7" s="124" t="s">
        <v>121</v>
      </c>
      <c r="H7" s="126">
        <v>35</v>
      </c>
      <c r="I7" s="127">
        <v>39</v>
      </c>
      <c r="J7" s="127">
        <f t="shared" si="0"/>
        <v>1365</v>
      </c>
    </row>
    <row r="8" spans="1:12">
      <c r="A8" s="124">
        <v>7</v>
      </c>
      <c r="B8" s="124" t="s">
        <v>353</v>
      </c>
      <c r="C8" s="124" t="s">
        <v>580</v>
      </c>
      <c r="D8" s="124" t="str">
        <f t="shared" si="1"/>
        <v>Theresa</v>
      </c>
      <c r="E8" s="124" t="s">
        <v>352</v>
      </c>
      <c r="F8" s="125">
        <v>35485</v>
      </c>
      <c r="G8" s="124" t="s">
        <v>106</v>
      </c>
      <c r="H8" s="126">
        <v>35</v>
      </c>
      <c r="I8" s="127">
        <v>27.1</v>
      </c>
      <c r="J8" s="127">
        <f t="shared" si="0"/>
        <v>948.5</v>
      </c>
    </row>
    <row r="9" spans="1:12">
      <c r="A9" s="124">
        <v>8</v>
      </c>
      <c r="B9" s="124" t="s">
        <v>351</v>
      </c>
      <c r="C9" s="124" t="s">
        <v>581</v>
      </c>
      <c r="D9" s="124" t="str">
        <f t="shared" si="1"/>
        <v>Barry</v>
      </c>
      <c r="E9" s="124" t="s">
        <v>349</v>
      </c>
      <c r="F9" s="125">
        <v>33341</v>
      </c>
      <c r="G9" s="124" t="s">
        <v>121</v>
      </c>
      <c r="H9" s="126">
        <v>40</v>
      </c>
      <c r="I9" s="127">
        <v>48</v>
      </c>
      <c r="J9" s="127">
        <f t="shared" si="0"/>
        <v>1920</v>
      </c>
    </row>
    <row r="10" spans="1:12">
      <c r="A10" s="124">
        <v>9</v>
      </c>
      <c r="B10" s="124" t="s">
        <v>348</v>
      </c>
      <c r="C10" s="124" t="s">
        <v>582</v>
      </c>
      <c r="D10" s="124" t="str">
        <f t="shared" si="1"/>
        <v>Cheryl</v>
      </c>
      <c r="E10" s="124" t="s">
        <v>346</v>
      </c>
      <c r="F10" s="125">
        <v>35825</v>
      </c>
      <c r="G10" s="124" t="s">
        <v>114</v>
      </c>
      <c r="H10" s="126">
        <v>35.5</v>
      </c>
      <c r="I10" s="127">
        <v>28.3</v>
      </c>
      <c r="J10" s="127">
        <f t="shared" si="0"/>
        <v>1004.65</v>
      </c>
    </row>
    <row r="11" spans="1:12">
      <c r="A11" s="124">
        <v>10</v>
      </c>
      <c r="B11" s="124" t="s">
        <v>345</v>
      </c>
      <c r="C11" s="124" t="s">
        <v>583</v>
      </c>
      <c r="D11" s="124" t="str">
        <f t="shared" si="1"/>
        <v>Harry</v>
      </c>
      <c r="E11" s="124" t="s">
        <v>343</v>
      </c>
      <c r="F11" s="125">
        <v>36157</v>
      </c>
      <c r="G11" s="124"/>
      <c r="H11" s="126">
        <v>40</v>
      </c>
      <c r="I11" s="127">
        <v>36.5</v>
      </c>
      <c r="J11" s="127">
        <f t="shared" si="0"/>
        <v>1460</v>
      </c>
    </row>
    <row r="12" spans="1:12">
      <c r="A12" s="124">
        <v>11</v>
      </c>
      <c r="B12" s="124" t="s">
        <v>342</v>
      </c>
      <c r="C12" s="124" t="s">
        <v>584</v>
      </c>
      <c r="D12" s="124" t="str">
        <f t="shared" si="1"/>
        <v>Shing</v>
      </c>
      <c r="E12" s="124" t="s">
        <v>340</v>
      </c>
      <c r="F12" s="125">
        <v>33822</v>
      </c>
      <c r="G12" s="124" t="s">
        <v>110</v>
      </c>
      <c r="H12" s="126">
        <v>35.5</v>
      </c>
      <c r="I12" s="127">
        <v>28.3</v>
      </c>
      <c r="J12" s="127">
        <f t="shared" si="0"/>
        <v>1004.65</v>
      </c>
    </row>
    <row r="13" spans="1:12">
      <c r="A13" s="124">
        <v>12</v>
      </c>
      <c r="B13" s="124" t="s">
        <v>339</v>
      </c>
      <c r="C13" s="124" t="s">
        <v>585</v>
      </c>
      <c r="D13" s="124" t="str">
        <f t="shared" si="1"/>
        <v>Seth</v>
      </c>
      <c r="E13" s="124" t="s">
        <v>337</v>
      </c>
      <c r="F13" s="125">
        <v>35888</v>
      </c>
      <c r="G13" s="124" t="s">
        <v>125</v>
      </c>
      <c r="H13" s="126">
        <v>32</v>
      </c>
      <c r="I13" s="127">
        <v>20.5</v>
      </c>
      <c r="J13" s="127">
        <f t="shared" si="0"/>
        <v>656</v>
      </c>
    </row>
    <row r="14" spans="1:12">
      <c r="A14" s="124">
        <v>13</v>
      </c>
      <c r="B14" s="124" t="s">
        <v>336</v>
      </c>
      <c r="C14" s="124" t="s">
        <v>586</v>
      </c>
      <c r="D14" s="124" t="str">
        <f t="shared" si="1"/>
        <v>Bob</v>
      </c>
      <c r="E14" s="124" t="s">
        <v>334</v>
      </c>
      <c r="F14" s="125">
        <v>33992</v>
      </c>
      <c r="G14" s="124" t="s">
        <v>551</v>
      </c>
      <c r="H14" s="126">
        <v>35.5</v>
      </c>
      <c r="I14" s="127">
        <v>50</v>
      </c>
      <c r="J14" s="127">
        <f t="shared" si="0"/>
        <v>1775</v>
      </c>
    </row>
    <row r="15" spans="1:12">
      <c r="A15" s="124">
        <v>14</v>
      </c>
      <c r="B15" s="124" t="s">
        <v>333</v>
      </c>
      <c r="C15" s="124" t="s">
        <v>587</v>
      </c>
      <c r="D15" s="124" t="str">
        <f t="shared" si="1"/>
        <v>Chris</v>
      </c>
      <c r="E15" s="124" t="s">
        <v>332</v>
      </c>
      <c r="F15" s="125">
        <v>35195</v>
      </c>
      <c r="G15" s="124" t="s">
        <v>129</v>
      </c>
      <c r="H15" s="126">
        <v>40</v>
      </c>
      <c r="I15" s="127">
        <v>22.22</v>
      </c>
      <c r="J15" s="127">
        <f t="shared" si="0"/>
        <v>888.8</v>
      </c>
    </row>
    <row r="16" spans="1:12">
      <c r="A16" s="124">
        <v>15</v>
      </c>
      <c r="B16" s="124" t="s">
        <v>331</v>
      </c>
      <c r="C16" s="124" t="s">
        <v>588</v>
      </c>
      <c r="D16" s="124" t="str">
        <f t="shared" si="1"/>
        <v>Robert</v>
      </c>
      <c r="E16" s="124" t="s">
        <v>330</v>
      </c>
      <c r="F16" s="125">
        <v>34858</v>
      </c>
      <c r="G16" s="124" t="s">
        <v>129</v>
      </c>
      <c r="H16" s="126">
        <v>40</v>
      </c>
      <c r="I16" s="127">
        <v>27.6</v>
      </c>
      <c r="J16" s="127">
        <f t="shared" si="0"/>
        <v>1104</v>
      </c>
    </row>
    <row r="17" spans="1:10">
      <c r="A17" s="124">
        <v>16</v>
      </c>
      <c r="B17" s="124" t="s">
        <v>329</v>
      </c>
      <c r="C17" s="124" t="s">
        <v>589</v>
      </c>
      <c r="D17" s="124" t="str">
        <f t="shared" si="1"/>
        <v>James</v>
      </c>
      <c r="E17" s="124" t="s">
        <v>328</v>
      </c>
      <c r="F17" s="125">
        <v>34616</v>
      </c>
      <c r="G17" s="124" t="s">
        <v>129</v>
      </c>
      <c r="H17" s="126">
        <v>35.5</v>
      </c>
      <c r="I17" s="127">
        <v>55</v>
      </c>
      <c r="J17" s="127">
        <f t="shared" si="0"/>
        <v>1952.5</v>
      </c>
    </row>
    <row r="18" spans="1:10">
      <c r="A18" s="124">
        <v>17</v>
      </c>
      <c r="B18" s="124" t="s">
        <v>327</v>
      </c>
      <c r="C18" s="124" t="s">
        <v>590</v>
      </c>
      <c r="D18" s="124" t="str">
        <f t="shared" si="1"/>
        <v>George</v>
      </c>
      <c r="E18" s="124" t="s">
        <v>326</v>
      </c>
      <c r="F18" s="125">
        <v>34094</v>
      </c>
      <c r="G18" s="124" t="s">
        <v>155</v>
      </c>
      <c r="H18" s="126">
        <v>40</v>
      </c>
      <c r="I18" s="127">
        <v>37</v>
      </c>
      <c r="J18" s="127">
        <f t="shared" si="0"/>
        <v>1480</v>
      </c>
    </row>
    <row r="19" spans="1:10">
      <c r="A19" s="124">
        <v>18</v>
      </c>
      <c r="B19" s="124" t="s">
        <v>325</v>
      </c>
      <c r="C19" s="124" t="s">
        <v>591</v>
      </c>
      <c r="D19" s="124" t="str">
        <f t="shared" si="1"/>
        <v>Paul</v>
      </c>
      <c r="E19" s="124" t="s">
        <v>324</v>
      </c>
      <c r="F19" s="125">
        <v>35050</v>
      </c>
      <c r="G19" s="124" t="s">
        <v>155</v>
      </c>
      <c r="H19" s="126">
        <v>40</v>
      </c>
      <c r="I19" s="127">
        <v>37</v>
      </c>
      <c r="J19" s="127">
        <f t="shared" si="0"/>
        <v>1480</v>
      </c>
    </row>
    <row r="20" spans="1:10">
      <c r="A20" s="124">
        <v>19</v>
      </c>
      <c r="B20" s="124" t="s">
        <v>323</v>
      </c>
      <c r="C20" s="124" t="s">
        <v>592</v>
      </c>
      <c r="D20" s="124" t="str">
        <f t="shared" si="1"/>
        <v>Dean</v>
      </c>
      <c r="E20" s="124" t="s">
        <v>321</v>
      </c>
      <c r="F20" s="125">
        <v>34871</v>
      </c>
      <c r="G20" s="124" t="s">
        <v>106</v>
      </c>
      <c r="H20" s="126">
        <v>40</v>
      </c>
      <c r="I20" s="127">
        <v>30</v>
      </c>
      <c r="J20" s="127">
        <f t="shared" si="0"/>
        <v>1200</v>
      </c>
    </row>
    <row r="21" spans="1:10">
      <c r="A21" s="124">
        <v>20</v>
      </c>
      <c r="B21" s="124" t="s">
        <v>320</v>
      </c>
      <c r="C21" s="124" t="s">
        <v>593</v>
      </c>
      <c r="D21" s="124" t="str">
        <f t="shared" si="1"/>
        <v>Carol</v>
      </c>
      <c r="E21" s="124" t="s">
        <v>319</v>
      </c>
      <c r="F21" s="125">
        <v>34534</v>
      </c>
      <c r="G21" s="124"/>
      <c r="H21" s="126">
        <v>35.5</v>
      </c>
      <c r="I21" s="127">
        <v>27.5</v>
      </c>
      <c r="J21" s="127">
        <f t="shared" si="0"/>
        <v>976.25</v>
      </c>
    </row>
    <row r="22" spans="1:10">
      <c r="A22" s="124">
        <v>21</v>
      </c>
      <c r="B22" s="124" t="s">
        <v>318</v>
      </c>
      <c r="C22" s="124" t="s">
        <v>594</v>
      </c>
      <c r="D22" s="124" t="str">
        <f t="shared" si="1"/>
        <v>Julia</v>
      </c>
      <c r="E22" s="124" t="s">
        <v>133</v>
      </c>
      <c r="F22" s="125">
        <v>33649</v>
      </c>
      <c r="G22" s="124" t="s">
        <v>106</v>
      </c>
      <c r="H22" s="126">
        <v>25</v>
      </c>
      <c r="I22" s="127">
        <v>23.52</v>
      </c>
      <c r="J22" s="127">
        <f t="shared" si="0"/>
        <v>588</v>
      </c>
    </row>
    <row r="23" spans="1:10">
      <c r="A23" s="124">
        <v>22</v>
      </c>
      <c r="B23" s="124" t="s">
        <v>316</v>
      </c>
      <c r="C23" s="124" t="s">
        <v>595</v>
      </c>
      <c r="D23" s="124" t="str">
        <f t="shared" si="1"/>
        <v>Jacqueline</v>
      </c>
      <c r="E23" s="124" t="s">
        <v>314</v>
      </c>
      <c r="F23" s="125">
        <v>33634</v>
      </c>
      <c r="G23" s="124" t="s">
        <v>155</v>
      </c>
      <c r="H23" s="126">
        <v>40</v>
      </c>
      <c r="I23" s="127">
        <v>23.75</v>
      </c>
      <c r="J23" s="127">
        <f t="shared" si="0"/>
        <v>950</v>
      </c>
    </row>
    <row r="24" spans="1:10">
      <c r="A24" s="124">
        <v>23</v>
      </c>
      <c r="B24" s="124" t="s">
        <v>313</v>
      </c>
      <c r="C24" s="124" t="s">
        <v>596</v>
      </c>
      <c r="D24" s="124" t="str">
        <f t="shared" si="1"/>
        <v>Jeffrey</v>
      </c>
      <c r="E24" s="124" t="s">
        <v>311</v>
      </c>
      <c r="F24" s="125">
        <v>32573</v>
      </c>
      <c r="G24" s="124" t="s">
        <v>110</v>
      </c>
      <c r="H24" s="126">
        <v>40</v>
      </c>
      <c r="I24" s="127">
        <v>60</v>
      </c>
      <c r="J24" s="127">
        <f t="shared" si="0"/>
        <v>2400</v>
      </c>
    </row>
    <row r="25" spans="1:10">
      <c r="A25" s="124">
        <v>24</v>
      </c>
      <c r="B25" s="124" t="s">
        <v>310</v>
      </c>
      <c r="C25" s="124" t="s">
        <v>597</v>
      </c>
      <c r="D25" s="124" t="str">
        <f t="shared" si="1"/>
        <v>Jeri Lynn</v>
      </c>
      <c r="E25" s="124" t="s">
        <v>308</v>
      </c>
      <c r="F25" s="125">
        <v>33700</v>
      </c>
      <c r="G25" s="124"/>
      <c r="H25" s="126">
        <v>40</v>
      </c>
      <c r="I25" s="127">
        <v>52</v>
      </c>
      <c r="J25" s="127">
        <f t="shared" si="0"/>
        <v>2080</v>
      </c>
    </row>
    <row r="26" spans="1:10">
      <c r="A26" s="124">
        <v>25</v>
      </c>
      <c r="B26" s="124" t="s">
        <v>307</v>
      </c>
      <c r="C26" s="124" t="s">
        <v>598</v>
      </c>
      <c r="D26" s="124" t="str">
        <f t="shared" si="1"/>
        <v>Sung</v>
      </c>
      <c r="E26" s="124" t="s">
        <v>179</v>
      </c>
      <c r="F26" s="125">
        <v>35747</v>
      </c>
      <c r="G26" s="124" t="s">
        <v>125</v>
      </c>
      <c r="H26" s="126">
        <v>40</v>
      </c>
      <c r="I26" s="127">
        <v>30.5</v>
      </c>
      <c r="J26" s="127">
        <f t="shared" si="0"/>
        <v>1220</v>
      </c>
    </row>
    <row r="27" spans="1:10">
      <c r="A27" s="124">
        <v>26</v>
      </c>
      <c r="B27" s="124" t="s">
        <v>305</v>
      </c>
      <c r="C27" s="124" t="s">
        <v>599</v>
      </c>
      <c r="D27" s="124" t="str">
        <f t="shared" si="1"/>
        <v>Theodore</v>
      </c>
      <c r="E27" s="124" t="s">
        <v>303</v>
      </c>
      <c r="F27" s="125">
        <v>36374</v>
      </c>
      <c r="G27" s="124" t="s">
        <v>125</v>
      </c>
      <c r="H27" s="126">
        <v>32</v>
      </c>
      <c r="I27" s="127">
        <v>20.5</v>
      </c>
      <c r="J27" s="127">
        <f t="shared" si="0"/>
        <v>656</v>
      </c>
    </row>
    <row r="28" spans="1:10">
      <c r="A28" s="124">
        <v>27</v>
      </c>
      <c r="B28" s="124" t="s">
        <v>302</v>
      </c>
      <c r="C28" s="124" t="s">
        <v>600</v>
      </c>
      <c r="D28" s="124" t="str">
        <f t="shared" si="1"/>
        <v>Brad</v>
      </c>
      <c r="E28" s="124" t="s">
        <v>300</v>
      </c>
      <c r="F28" s="125">
        <v>34279</v>
      </c>
      <c r="G28" s="124" t="s">
        <v>155</v>
      </c>
      <c r="H28" s="126">
        <v>40</v>
      </c>
      <c r="I28" s="127">
        <v>34.5</v>
      </c>
      <c r="J28" s="127">
        <f t="shared" si="0"/>
        <v>1380</v>
      </c>
    </row>
    <row r="29" spans="1:10">
      <c r="A29" s="124">
        <v>28</v>
      </c>
      <c r="B29" s="124" t="s">
        <v>299</v>
      </c>
      <c r="C29" s="124" t="s">
        <v>601</v>
      </c>
      <c r="D29" s="124" t="str">
        <f t="shared" si="1"/>
        <v>Robert</v>
      </c>
      <c r="E29" s="124" t="s">
        <v>297</v>
      </c>
      <c r="F29" s="125">
        <v>33497</v>
      </c>
      <c r="G29" s="124" t="s">
        <v>125</v>
      </c>
      <c r="H29" s="126">
        <v>40</v>
      </c>
      <c r="I29" s="127">
        <v>45</v>
      </c>
      <c r="J29" s="127">
        <f t="shared" si="0"/>
        <v>1800</v>
      </c>
    </row>
    <row r="30" spans="1:10">
      <c r="A30" s="124">
        <v>29</v>
      </c>
      <c r="B30" s="124" t="s">
        <v>296</v>
      </c>
      <c r="C30" s="124" t="s">
        <v>602</v>
      </c>
      <c r="D30" s="124" t="str">
        <f t="shared" si="1"/>
        <v>Donald</v>
      </c>
      <c r="E30" s="124" t="s">
        <v>294</v>
      </c>
      <c r="F30" s="125">
        <v>33831</v>
      </c>
      <c r="G30" s="124" t="s">
        <v>155</v>
      </c>
      <c r="H30" s="126">
        <v>32</v>
      </c>
      <c r="I30" s="127">
        <v>20.5</v>
      </c>
      <c r="J30" s="127">
        <f t="shared" si="0"/>
        <v>656</v>
      </c>
    </row>
    <row r="31" spans="1:10">
      <c r="A31" s="124">
        <v>30</v>
      </c>
      <c r="B31" s="124" t="s">
        <v>293</v>
      </c>
      <c r="C31" s="124" t="s">
        <v>603</v>
      </c>
      <c r="D31" s="124" t="str">
        <f t="shared" si="1"/>
        <v>Joanne</v>
      </c>
      <c r="E31" s="124" t="s">
        <v>291</v>
      </c>
      <c r="F31" s="125">
        <v>33837</v>
      </c>
      <c r="G31" s="124" t="s">
        <v>155</v>
      </c>
      <c r="H31" s="126">
        <v>40</v>
      </c>
      <c r="I31" s="127">
        <v>36.5</v>
      </c>
      <c r="J31" s="127">
        <f t="shared" si="0"/>
        <v>1460</v>
      </c>
    </row>
    <row r="32" spans="1:10">
      <c r="A32" s="124">
        <v>31</v>
      </c>
      <c r="B32" s="124" t="s">
        <v>290</v>
      </c>
      <c r="C32" s="124" t="s">
        <v>604</v>
      </c>
      <c r="D32" s="124" t="str">
        <f t="shared" si="1"/>
        <v>Susan</v>
      </c>
      <c r="E32" s="124" t="s">
        <v>288</v>
      </c>
      <c r="F32" s="125">
        <v>35775</v>
      </c>
      <c r="G32" s="124" t="s">
        <v>110</v>
      </c>
      <c r="H32" s="126">
        <v>25</v>
      </c>
      <c r="I32" s="127">
        <v>23.52</v>
      </c>
      <c r="J32" s="127">
        <f t="shared" si="0"/>
        <v>588</v>
      </c>
    </row>
    <row r="33" spans="1:10">
      <c r="A33" s="124">
        <v>32</v>
      </c>
      <c r="B33" s="124" t="s">
        <v>287</v>
      </c>
      <c r="C33" s="124" t="s">
        <v>605</v>
      </c>
      <c r="D33" s="124" t="str">
        <f t="shared" si="1"/>
        <v>James</v>
      </c>
      <c r="E33" s="124" t="s">
        <v>184</v>
      </c>
      <c r="F33" s="125">
        <v>36194</v>
      </c>
      <c r="G33" s="124"/>
      <c r="H33" s="126">
        <v>35</v>
      </c>
      <c r="I33" s="127">
        <v>27.1</v>
      </c>
      <c r="J33" s="127">
        <f t="shared" si="0"/>
        <v>948.5</v>
      </c>
    </row>
    <row r="34" spans="1:10">
      <c r="A34" s="124">
        <v>33</v>
      </c>
      <c r="B34" s="124" t="s">
        <v>285</v>
      </c>
      <c r="C34" s="124" t="s">
        <v>606</v>
      </c>
      <c r="D34" s="124" t="str">
        <f t="shared" si="1"/>
        <v>Laura</v>
      </c>
      <c r="E34" s="124" t="s">
        <v>283</v>
      </c>
      <c r="F34" s="125">
        <v>36017</v>
      </c>
      <c r="G34" s="124" t="s">
        <v>106</v>
      </c>
      <c r="H34" s="126">
        <v>35</v>
      </c>
      <c r="I34" s="127">
        <v>50</v>
      </c>
      <c r="J34" s="127">
        <f t="shared" si="0"/>
        <v>1750</v>
      </c>
    </row>
    <row r="35" spans="1:10">
      <c r="A35" s="124">
        <v>34</v>
      </c>
      <c r="B35" s="124" t="s">
        <v>282</v>
      </c>
      <c r="C35" s="124" t="s">
        <v>607</v>
      </c>
      <c r="D35" s="124" t="str">
        <f t="shared" si="1"/>
        <v>Brian</v>
      </c>
      <c r="E35" s="124" t="s">
        <v>133</v>
      </c>
      <c r="F35" s="125">
        <v>35372</v>
      </c>
      <c r="G35" s="124" t="s">
        <v>121</v>
      </c>
      <c r="H35" s="126">
        <v>40</v>
      </c>
      <c r="I35" s="127">
        <v>34.5</v>
      </c>
      <c r="J35" s="127">
        <f t="shared" si="0"/>
        <v>1380</v>
      </c>
    </row>
    <row r="36" spans="1:10">
      <c r="A36" s="124">
        <v>35</v>
      </c>
      <c r="B36" s="124" t="s">
        <v>280</v>
      </c>
      <c r="C36" s="124" t="s">
        <v>608</v>
      </c>
      <c r="D36" s="124" t="str">
        <f t="shared" si="1"/>
        <v>Mary</v>
      </c>
      <c r="E36" s="124" t="s">
        <v>279</v>
      </c>
      <c r="F36" s="125">
        <v>35026</v>
      </c>
      <c r="G36" s="124" t="s">
        <v>121</v>
      </c>
      <c r="H36" s="126">
        <v>35.5</v>
      </c>
      <c r="I36" s="127">
        <v>55</v>
      </c>
      <c r="J36" s="127">
        <f t="shared" si="0"/>
        <v>1952.5</v>
      </c>
    </row>
    <row r="37" spans="1:10">
      <c r="A37" s="124">
        <v>36</v>
      </c>
      <c r="B37" s="124" t="s">
        <v>278</v>
      </c>
      <c r="C37" s="124" t="s">
        <v>609</v>
      </c>
      <c r="D37" s="124" t="str">
        <f t="shared" si="1"/>
        <v>Peter</v>
      </c>
      <c r="E37" s="124" t="s">
        <v>276</v>
      </c>
      <c r="F37" s="125">
        <v>34483</v>
      </c>
      <c r="G37" s="124"/>
      <c r="H37" s="126">
        <v>40</v>
      </c>
      <c r="I37" s="127">
        <v>23.75</v>
      </c>
      <c r="J37" s="127">
        <f t="shared" si="0"/>
        <v>950</v>
      </c>
    </row>
    <row r="38" spans="1:10">
      <c r="A38" s="124">
        <v>37</v>
      </c>
      <c r="B38" s="124" t="s">
        <v>275</v>
      </c>
      <c r="C38" s="124" t="s">
        <v>610</v>
      </c>
      <c r="D38" s="124" t="str">
        <f t="shared" si="1"/>
        <v>Mary</v>
      </c>
      <c r="E38" s="124" t="s">
        <v>273</v>
      </c>
      <c r="F38" s="125">
        <v>34949</v>
      </c>
      <c r="G38" s="124" t="s">
        <v>155</v>
      </c>
      <c r="H38" s="126">
        <v>29.5</v>
      </c>
      <c r="I38" s="127">
        <v>21.5</v>
      </c>
      <c r="J38" s="127">
        <f t="shared" si="0"/>
        <v>634.25</v>
      </c>
    </row>
    <row r="39" spans="1:10">
      <c r="A39" s="124">
        <v>38</v>
      </c>
      <c r="B39" s="124" t="s">
        <v>272</v>
      </c>
      <c r="C39" s="124" t="s">
        <v>611</v>
      </c>
      <c r="D39" s="124" t="str">
        <f t="shared" si="1"/>
        <v>Fred</v>
      </c>
      <c r="E39" s="124" t="s">
        <v>270</v>
      </c>
      <c r="F39" s="125">
        <v>33404</v>
      </c>
      <c r="G39" s="124" t="s">
        <v>121</v>
      </c>
      <c r="H39" s="126">
        <v>38</v>
      </c>
      <c r="I39" s="127">
        <v>30.5</v>
      </c>
      <c r="J39" s="127">
        <f t="shared" si="0"/>
        <v>1159</v>
      </c>
    </row>
    <row r="40" spans="1:10">
      <c r="A40" s="124">
        <v>39</v>
      </c>
      <c r="B40" s="124" t="s">
        <v>269</v>
      </c>
      <c r="C40" s="124" t="s">
        <v>612</v>
      </c>
      <c r="D40" s="124" t="str">
        <f t="shared" si="1"/>
        <v>Molly</v>
      </c>
      <c r="E40" s="124" t="s">
        <v>267</v>
      </c>
      <c r="F40" s="125">
        <v>35655</v>
      </c>
      <c r="G40" s="124" t="s">
        <v>129</v>
      </c>
      <c r="H40" s="126">
        <v>40</v>
      </c>
      <c r="I40" s="127">
        <v>37</v>
      </c>
      <c r="J40" s="127">
        <f t="shared" si="0"/>
        <v>1480</v>
      </c>
    </row>
    <row r="41" spans="1:10">
      <c r="A41" s="124">
        <v>40</v>
      </c>
      <c r="B41" s="124" t="s">
        <v>266</v>
      </c>
      <c r="C41" s="124" t="s">
        <v>613</v>
      </c>
      <c r="D41" s="124" t="str">
        <f t="shared" si="1"/>
        <v>Greg</v>
      </c>
      <c r="E41" s="124" t="s">
        <v>265</v>
      </c>
      <c r="F41" s="125">
        <v>35005</v>
      </c>
      <c r="G41" s="124"/>
      <c r="H41" s="126">
        <v>38</v>
      </c>
      <c r="I41" s="127">
        <v>30.5</v>
      </c>
      <c r="J41" s="127">
        <f t="shared" si="0"/>
        <v>1159</v>
      </c>
    </row>
    <row r="42" spans="1:10">
      <c r="A42" s="124">
        <v>41</v>
      </c>
      <c r="B42" s="124" t="s">
        <v>264</v>
      </c>
      <c r="C42" s="124" t="s">
        <v>614</v>
      </c>
      <c r="D42" s="124" t="str">
        <f t="shared" si="1"/>
        <v>Kathy</v>
      </c>
      <c r="E42" s="124" t="s">
        <v>262</v>
      </c>
      <c r="F42" s="125">
        <v>34471</v>
      </c>
      <c r="G42" s="124" t="s">
        <v>114</v>
      </c>
      <c r="H42" s="126">
        <v>40</v>
      </c>
      <c r="I42" s="127">
        <v>23.22</v>
      </c>
      <c r="J42" s="127">
        <f t="shared" si="0"/>
        <v>928.8</v>
      </c>
    </row>
    <row r="43" spans="1:10">
      <c r="A43" s="124">
        <v>42</v>
      </c>
      <c r="B43" s="124" t="s">
        <v>261</v>
      </c>
      <c r="C43" s="124" t="s">
        <v>615</v>
      </c>
      <c r="D43" s="124" t="str">
        <f t="shared" si="1"/>
        <v>Bill</v>
      </c>
      <c r="E43" s="124" t="s">
        <v>260</v>
      </c>
      <c r="F43" s="125">
        <v>32883</v>
      </c>
      <c r="G43" s="124"/>
      <c r="H43" s="126">
        <v>40</v>
      </c>
      <c r="I43" s="127">
        <v>45</v>
      </c>
      <c r="J43" s="127">
        <f t="shared" si="0"/>
        <v>1800</v>
      </c>
    </row>
    <row r="44" spans="1:10">
      <c r="A44" s="124">
        <v>43</v>
      </c>
      <c r="B44" s="124" t="s">
        <v>259</v>
      </c>
      <c r="C44" s="124" t="s">
        <v>616</v>
      </c>
      <c r="D44" s="124" t="str">
        <f t="shared" si="1"/>
        <v>Michael</v>
      </c>
      <c r="E44" s="124" t="s">
        <v>258</v>
      </c>
      <c r="F44" s="125">
        <v>34414</v>
      </c>
      <c r="G44" s="124" t="s">
        <v>129</v>
      </c>
      <c r="H44" s="126">
        <v>35</v>
      </c>
      <c r="I44" s="127">
        <v>39</v>
      </c>
      <c r="J44" s="127">
        <f t="shared" si="0"/>
        <v>1365</v>
      </c>
    </row>
    <row r="45" spans="1:10">
      <c r="A45" s="124">
        <v>44</v>
      </c>
      <c r="B45" s="124" t="s">
        <v>257</v>
      </c>
      <c r="C45" s="124" t="s">
        <v>617</v>
      </c>
      <c r="D45" s="124" t="str">
        <f t="shared" si="1"/>
        <v>Melanie</v>
      </c>
      <c r="E45" s="124" t="s">
        <v>255</v>
      </c>
      <c r="F45" s="125">
        <v>34671</v>
      </c>
      <c r="G45" s="124" t="s">
        <v>114</v>
      </c>
      <c r="H45" s="126">
        <v>15.5</v>
      </c>
      <c r="I45" s="127">
        <v>21.5</v>
      </c>
      <c r="J45" s="127">
        <f t="shared" si="0"/>
        <v>333.25</v>
      </c>
    </row>
    <row r="46" spans="1:10">
      <c r="A46" s="124">
        <v>45</v>
      </c>
      <c r="B46" s="124" t="s">
        <v>254</v>
      </c>
      <c r="C46" s="124" t="s">
        <v>618</v>
      </c>
      <c r="D46" s="124" t="str">
        <f t="shared" si="1"/>
        <v>Kyle</v>
      </c>
      <c r="E46" s="124" t="s">
        <v>252</v>
      </c>
      <c r="F46" s="125">
        <v>33883</v>
      </c>
      <c r="G46" s="124" t="s">
        <v>155</v>
      </c>
      <c r="H46" s="126">
        <v>40</v>
      </c>
      <c r="I46" s="127">
        <v>37</v>
      </c>
      <c r="J46" s="127">
        <f t="shared" si="0"/>
        <v>1480</v>
      </c>
    </row>
    <row r="47" spans="1:10">
      <c r="A47" s="124">
        <v>46</v>
      </c>
      <c r="B47" s="124" t="s">
        <v>251</v>
      </c>
      <c r="C47" s="124" t="s">
        <v>619</v>
      </c>
      <c r="D47" s="124" t="str">
        <f t="shared" si="1"/>
        <v>Lance</v>
      </c>
      <c r="E47" s="124" t="s">
        <v>249</v>
      </c>
      <c r="F47" s="125">
        <v>35427</v>
      </c>
      <c r="G47" s="124" t="s">
        <v>125</v>
      </c>
      <c r="H47" s="126">
        <v>32</v>
      </c>
      <c r="I47" s="127">
        <v>20.5</v>
      </c>
      <c r="J47" s="127">
        <f t="shared" si="0"/>
        <v>656</v>
      </c>
    </row>
    <row r="48" spans="1:10">
      <c r="A48" s="124">
        <v>47</v>
      </c>
      <c r="B48" s="124" t="s">
        <v>248</v>
      </c>
      <c r="C48" s="124" t="s">
        <v>620</v>
      </c>
      <c r="D48" s="124" t="str">
        <f t="shared" si="1"/>
        <v>Anne</v>
      </c>
      <c r="E48" s="124" t="s">
        <v>246</v>
      </c>
      <c r="F48" s="125">
        <v>34428</v>
      </c>
      <c r="G48" s="124" t="s">
        <v>106</v>
      </c>
      <c r="H48" s="126">
        <v>25</v>
      </c>
      <c r="I48" s="127">
        <v>23.52</v>
      </c>
      <c r="J48" s="127">
        <f t="shared" si="0"/>
        <v>588</v>
      </c>
    </row>
    <row r="49" spans="1:10">
      <c r="A49" s="124">
        <v>48</v>
      </c>
      <c r="B49" s="124" t="s">
        <v>245</v>
      </c>
      <c r="C49" s="124" t="s">
        <v>621</v>
      </c>
      <c r="D49" s="124" t="str">
        <f t="shared" si="1"/>
        <v>Doug</v>
      </c>
      <c r="E49" s="124" t="s">
        <v>243</v>
      </c>
      <c r="F49" s="125">
        <v>34843</v>
      </c>
      <c r="G49" s="124" t="s">
        <v>110</v>
      </c>
      <c r="H49" s="126">
        <v>38</v>
      </c>
      <c r="I49" s="127">
        <v>55</v>
      </c>
      <c r="J49" s="127">
        <f t="shared" si="0"/>
        <v>2090</v>
      </c>
    </row>
    <row r="50" spans="1:10">
      <c r="A50" s="124">
        <v>49</v>
      </c>
      <c r="B50" s="124" t="s">
        <v>242</v>
      </c>
      <c r="C50" s="124" t="s">
        <v>622</v>
      </c>
      <c r="D50" s="124" t="str">
        <f t="shared" si="1"/>
        <v>George</v>
      </c>
      <c r="E50" s="124" t="s">
        <v>240</v>
      </c>
      <c r="F50" s="125">
        <v>35034</v>
      </c>
      <c r="G50" s="124" t="s">
        <v>125</v>
      </c>
      <c r="H50" s="126">
        <v>35.5</v>
      </c>
      <c r="I50" s="127">
        <v>27.5</v>
      </c>
      <c r="J50" s="127">
        <f t="shared" si="0"/>
        <v>976.25</v>
      </c>
    </row>
    <row r="51" spans="1:10">
      <c r="A51" s="124">
        <v>50</v>
      </c>
      <c r="B51" s="124" t="s">
        <v>239</v>
      </c>
      <c r="C51" s="124" t="s">
        <v>623</v>
      </c>
      <c r="D51" s="124" t="str">
        <f t="shared" si="1"/>
        <v>Steve</v>
      </c>
      <c r="E51" s="124" t="s">
        <v>237</v>
      </c>
      <c r="F51" s="125">
        <v>34610</v>
      </c>
      <c r="G51" s="124" t="s">
        <v>110</v>
      </c>
      <c r="H51" s="126">
        <v>40</v>
      </c>
      <c r="I51" s="127">
        <v>36.5</v>
      </c>
      <c r="J51" s="127">
        <f t="shared" si="0"/>
        <v>1460</v>
      </c>
    </row>
    <row r="52" spans="1:10">
      <c r="A52" s="124">
        <v>51</v>
      </c>
      <c r="B52" s="124" t="s">
        <v>236</v>
      </c>
      <c r="C52" s="124" t="s">
        <v>624</v>
      </c>
      <c r="D52" s="124" t="str">
        <f t="shared" si="1"/>
        <v>Carol</v>
      </c>
      <c r="E52" s="124" t="s">
        <v>234</v>
      </c>
      <c r="F52" s="125">
        <v>33704</v>
      </c>
      <c r="G52" s="124"/>
      <c r="H52" s="126">
        <v>38</v>
      </c>
      <c r="I52" s="127">
        <v>30.5</v>
      </c>
      <c r="J52" s="127">
        <f t="shared" si="0"/>
        <v>1159</v>
      </c>
    </row>
    <row r="53" spans="1:10">
      <c r="A53" s="124">
        <v>52</v>
      </c>
      <c r="B53" s="124" t="s">
        <v>233</v>
      </c>
      <c r="C53" s="124" t="s">
        <v>625</v>
      </c>
      <c r="D53" s="124" t="str">
        <f t="shared" si="1"/>
        <v>Henry</v>
      </c>
      <c r="E53" s="124" t="s">
        <v>231</v>
      </c>
      <c r="F53" s="125">
        <v>34998</v>
      </c>
      <c r="G53" s="124" t="s">
        <v>106</v>
      </c>
      <c r="H53" s="126">
        <v>40</v>
      </c>
      <c r="I53" s="127">
        <v>36.5</v>
      </c>
      <c r="J53" s="127">
        <f t="shared" si="0"/>
        <v>1460</v>
      </c>
    </row>
    <row r="54" spans="1:10">
      <c r="A54" s="124">
        <v>53</v>
      </c>
      <c r="B54" s="124" t="s">
        <v>230</v>
      </c>
      <c r="C54" s="124" t="s">
        <v>626</v>
      </c>
      <c r="D54" s="124" t="str">
        <f t="shared" si="1"/>
        <v>Brooks</v>
      </c>
      <c r="E54" s="124" t="s">
        <v>228</v>
      </c>
      <c r="F54" s="125">
        <v>34347</v>
      </c>
      <c r="G54" s="124" t="s">
        <v>106</v>
      </c>
      <c r="H54" s="126">
        <v>35</v>
      </c>
      <c r="I54" s="127">
        <v>39</v>
      </c>
      <c r="J54" s="127">
        <f t="shared" si="0"/>
        <v>1365</v>
      </c>
    </row>
    <row r="55" spans="1:10">
      <c r="A55" s="124">
        <v>54</v>
      </c>
      <c r="B55" s="124" t="s">
        <v>227</v>
      </c>
      <c r="C55" s="124" t="s">
        <v>627</v>
      </c>
      <c r="D55" s="124" t="str">
        <f t="shared" si="1"/>
        <v>Dominick</v>
      </c>
      <c r="E55" s="124" t="s">
        <v>225</v>
      </c>
      <c r="F55" s="125">
        <v>34615</v>
      </c>
      <c r="G55" s="124"/>
      <c r="H55" s="126">
        <v>40</v>
      </c>
      <c r="I55" s="127">
        <v>36.5</v>
      </c>
      <c r="J55" s="127">
        <f t="shared" si="0"/>
        <v>1460</v>
      </c>
    </row>
    <row r="56" spans="1:10">
      <c r="A56" s="124">
        <v>55</v>
      </c>
      <c r="B56" s="124" t="s">
        <v>224</v>
      </c>
      <c r="C56" s="124" t="s">
        <v>628</v>
      </c>
      <c r="D56" s="124" t="str">
        <f t="shared" si="1"/>
        <v>Jennifer</v>
      </c>
      <c r="E56" s="124" t="s">
        <v>222</v>
      </c>
      <c r="F56" s="125">
        <v>35221</v>
      </c>
      <c r="G56" s="124"/>
      <c r="H56" s="126">
        <v>25</v>
      </c>
      <c r="I56" s="127">
        <v>23.52</v>
      </c>
      <c r="J56" s="127">
        <f t="shared" si="0"/>
        <v>588</v>
      </c>
    </row>
    <row r="57" spans="1:10">
      <c r="A57" s="124">
        <v>56</v>
      </c>
      <c r="B57" s="124" t="s">
        <v>221</v>
      </c>
      <c r="C57" s="124" t="s">
        <v>629</v>
      </c>
      <c r="D57" s="124" t="str">
        <f t="shared" si="1"/>
        <v>Joshua</v>
      </c>
      <c r="E57" s="124" t="s">
        <v>219</v>
      </c>
      <c r="F57" s="125">
        <v>36181</v>
      </c>
      <c r="G57" s="124" t="s">
        <v>125</v>
      </c>
      <c r="H57" s="126">
        <v>40</v>
      </c>
      <c r="I57" s="127">
        <v>36.5</v>
      </c>
      <c r="J57" s="127">
        <f t="shared" si="0"/>
        <v>1460</v>
      </c>
    </row>
    <row r="58" spans="1:10">
      <c r="A58" s="124">
        <v>57</v>
      </c>
      <c r="B58" s="124" t="s">
        <v>218</v>
      </c>
      <c r="C58" s="124" t="s">
        <v>630</v>
      </c>
      <c r="D58" s="124" t="str">
        <f t="shared" si="1"/>
        <v>Bill</v>
      </c>
      <c r="E58" s="124" t="s">
        <v>216</v>
      </c>
      <c r="F58" s="125">
        <v>32732</v>
      </c>
      <c r="G58" s="124" t="s">
        <v>110</v>
      </c>
      <c r="H58" s="126">
        <v>38</v>
      </c>
      <c r="I58" s="127">
        <v>30.5</v>
      </c>
      <c r="J58" s="127">
        <f t="shared" si="0"/>
        <v>1159</v>
      </c>
    </row>
    <row r="59" spans="1:10">
      <c r="A59" s="124">
        <v>58</v>
      </c>
      <c r="B59" s="124" t="s">
        <v>215</v>
      </c>
      <c r="C59" s="124" t="s">
        <v>631</v>
      </c>
      <c r="D59" s="124" t="str">
        <f t="shared" si="1"/>
        <v>Todd</v>
      </c>
      <c r="E59" s="124" t="s">
        <v>213</v>
      </c>
      <c r="F59" s="125">
        <v>35755</v>
      </c>
      <c r="G59" s="124" t="s">
        <v>114</v>
      </c>
      <c r="H59" s="126">
        <v>40</v>
      </c>
      <c r="I59" s="127">
        <v>27.6</v>
      </c>
      <c r="J59" s="127">
        <f t="shared" si="0"/>
        <v>1104</v>
      </c>
    </row>
    <row r="60" spans="1:10">
      <c r="A60" s="124">
        <v>59</v>
      </c>
      <c r="B60" s="124" t="s">
        <v>212</v>
      </c>
      <c r="C60" s="124" t="s">
        <v>632</v>
      </c>
      <c r="D60" s="124" t="str">
        <f t="shared" si="1"/>
        <v>Karina</v>
      </c>
      <c r="E60" s="124" t="s">
        <v>184</v>
      </c>
      <c r="F60" s="125">
        <v>34709</v>
      </c>
      <c r="G60" s="124" t="s">
        <v>129</v>
      </c>
      <c r="H60" s="126">
        <v>42</v>
      </c>
      <c r="I60" s="127">
        <v>45</v>
      </c>
      <c r="J60" s="127">
        <f t="shared" si="0"/>
        <v>1890</v>
      </c>
    </row>
    <row r="61" spans="1:10">
      <c r="A61" s="124">
        <v>60</v>
      </c>
      <c r="B61" s="124" t="s">
        <v>210</v>
      </c>
      <c r="C61" s="124" t="s">
        <v>633</v>
      </c>
      <c r="D61" s="124" t="str">
        <f t="shared" si="1"/>
        <v>Edward</v>
      </c>
      <c r="E61" s="124" t="s">
        <v>208</v>
      </c>
      <c r="F61" s="125">
        <v>34500</v>
      </c>
      <c r="G61" s="124" t="s">
        <v>114</v>
      </c>
      <c r="H61" s="126">
        <v>40</v>
      </c>
      <c r="I61" s="127">
        <v>23.75</v>
      </c>
      <c r="J61" s="127">
        <f t="shared" si="0"/>
        <v>950</v>
      </c>
    </row>
    <row r="62" spans="1:10">
      <c r="A62" s="124">
        <v>61</v>
      </c>
      <c r="B62" s="124" t="s">
        <v>207</v>
      </c>
      <c r="C62" s="124" t="s">
        <v>634</v>
      </c>
      <c r="D62" s="124" t="str">
        <f t="shared" si="1"/>
        <v>Christina</v>
      </c>
      <c r="E62" s="124" t="s">
        <v>205</v>
      </c>
      <c r="F62" s="125">
        <v>34846</v>
      </c>
      <c r="G62" s="124" t="s">
        <v>106</v>
      </c>
      <c r="H62" s="126">
        <v>25</v>
      </c>
      <c r="I62" s="127">
        <v>23.52</v>
      </c>
      <c r="J62" s="127">
        <f t="shared" si="0"/>
        <v>588</v>
      </c>
    </row>
    <row r="63" spans="1:10">
      <c r="A63" s="124">
        <v>62</v>
      </c>
      <c r="B63" s="124" t="s">
        <v>204</v>
      </c>
      <c r="C63" s="124" t="s">
        <v>635</v>
      </c>
      <c r="D63" s="124" t="str">
        <f t="shared" si="1"/>
        <v>Michael</v>
      </c>
      <c r="E63" s="124" t="s">
        <v>202</v>
      </c>
      <c r="F63" s="125">
        <v>35545</v>
      </c>
      <c r="G63" s="124"/>
      <c r="H63" s="126">
        <v>15.5</v>
      </c>
      <c r="I63" s="127">
        <v>21.5</v>
      </c>
      <c r="J63" s="127">
        <f t="shared" si="0"/>
        <v>333.25</v>
      </c>
    </row>
    <row r="64" spans="1:10">
      <c r="A64" s="124">
        <v>63</v>
      </c>
      <c r="B64" s="124" t="s">
        <v>201</v>
      </c>
      <c r="C64" s="124" t="s">
        <v>636</v>
      </c>
      <c r="D64" s="124" t="str">
        <f t="shared" si="1"/>
        <v>Jerry</v>
      </c>
      <c r="E64" s="124" t="s">
        <v>199</v>
      </c>
      <c r="F64" s="125">
        <v>33059</v>
      </c>
      <c r="G64" s="124" t="s">
        <v>114</v>
      </c>
      <c r="H64" s="126">
        <v>40</v>
      </c>
      <c r="I64" s="127">
        <v>30.5</v>
      </c>
      <c r="J64" s="127">
        <f t="shared" si="0"/>
        <v>1220</v>
      </c>
    </row>
    <row r="65" spans="1:10">
      <c r="A65" s="124">
        <v>64</v>
      </c>
      <c r="B65" s="124" t="s">
        <v>198</v>
      </c>
      <c r="C65" s="124" t="s">
        <v>637</v>
      </c>
      <c r="D65" s="124" t="str">
        <f t="shared" si="1"/>
        <v>Lynne</v>
      </c>
      <c r="E65" s="124" t="s">
        <v>196</v>
      </c>
      <c r="F65" s="125">
        <v>35390</v>
      </c>
      <c r="G65" s="124" t="s">
        <v>110</v>
      </c>
      <c r="H65" s="126">
        <v>35</v>
      </c>
      <c r="I65" s="127">
        <v>27.1</v>
      </c>
      <c r="J65" s="127">
        <f t="shared" si="0"/>
        <v>948.5</v>
      </c>
    </row>
    <row r="66" spans="1:10">
      <c r="A66" s="124">
        <v>65</v>
      </c>
      <c r="B66" s="124" t="s">
        <v>195</v>
      </c>
      <c r="C66" s="124" t="s">
        <v>638</v>
      </c>
      <c r="D66" s="124" t="str">
        <f t="shared" si="1"/>
        <v>Lindsey</v>
      </c>
      <c r="E66" s="124" t="s">
        <v>193</v>
      </c>
      <c r="F66" s="125">
        <v>34364</v>
      </c>
      <c r="G66" s="124" t="s">
        <v>114</v>
      </c>
      <c r="H66" s="126">
        <v>35</v>
      </c>
      <c r="I66" s="127">
        <v>39</v>
      </c>
      <c r="J66" s="127">
        <f t="shared" ref="J66:J95" si="2">H66*I66</f>
        <v>1365</v>
      </c>
    </row>
    <row r="67" spans="1:10">
      <c r="A67" s="124">
        <v>66</v>
      </c>
      <c r="B67" s="124" t="s">
        <v>192</v>
      </c>
      <c r="C67" s="124" t="s">
        <v>639</v>
      </c>
      <c r="D67" s="124" t="str">
        <f t="shared" ref="D67:D95" si="3">CLEAN(C67)</f>
        <v>Chris</v>
      </c>
      <c r="E67" s="124" t="s">
        <v>190</v>
      </c>
      <c r="F67" s="125">
        <v>33688</v>
      </c>
      <c r="G67" s="124" t="s">
        <v>121</v>
      </c>
      <c r="H67" s="126">
        <v>35.5</v>
      </c>
      <c r="I67" s="127">
        <v>28.3</v>
      </c>
      <c r="J67" s="127">
        <f t="shared" si="2"/>
        <v>1004.65</v>
      </c>
    </row>
    <row r="68" spans="1:10">
      <c r="A68" s="124">
        <v>67</v>
      </c>
      <c r="B68" s="124" t="s">
        <v>189</v>
      </c>
      <c r="C68" s="124" t="s">
        <v>640</v>
      </c>
      <c r="D68" s="124" t="str">
        <f t="shared" si="3"/>
        <v>Paula</v>
      </c>
      <c r="E68" s="124" t="s">
        <v>187</v>
      </c>
      <c r="F68" s="125">
        <v>35038</v>
      </c>
      <c r="G68" s="124"/>
      <c r="H68" s="126">
        <v>29.5</v>
      </c>
      <c r="I68" s="127">
        <v>21.5</v>
      </c>
      <c r="J68" s="127">
        <f t="shared" si="2"/>
        <v>634.25</v>
      </c>
    </row>
    <row r="69" spans="1:10">
      <c r="A69" s="124">
        <v>68</v>
      </c>
      <c r="B69" s="124" t="s">
        <v>186</v>
      </c>
      <c r="C69" s="124" t="s">
        <v>641</v>
      </c>
      <c r="D69" s="124" t="str">
        <f t="shared" si="3"/>
        <v>William</v>
      </c>
      <c r="E69" s="124" t="s">
        <v>184</v>
      </c>
      <c r="F69" s="125">
        <v>35715</v>
      </c>
      <c r="G69" s="124" t="s">
        <v>114</v>
      </c>
      <c r="H69" s="126">
        <v>40</v>
      </c>
      <c r="I69" s="127">
        <v>35</v>
      </c>
      <c r="J69" s="127">
        <f t="shared" si="2"/>
        <v>1400</v>
      </c>
    </row>
    <row r="70" spans="1:10">
      <c r="A70" s="124">
        <v>69</v>
      </c>
      <c r="B70" s="124" t="s">
        <v>183</v>
      </c>
      <c r="C70" s="124" t="s">
        <v>642</v>
      </c>
      <c r="D70" s="124" t="str">
        <f t="shared" si="3"/>
        <v>Shirley</v>
      </c>
      <c r="E70" s="124" t="s">
        <v>181</v>
      </c>
      <c r="F70" s="125">
        <v>36231</v>
      </c>
      <c r="G70" s="124" t="s">
        <v>114</v>
      </c>
      <c r="H70" s="126">
        <v>35</v>
      </c>
      <c r="I70" s="127">
        <v>27.1</v>
      </c>
      <c r="J70" s="127">
        <f t="shared" si="2"/>
        <v>948.5</v>
      </c>
    </row>
    <row r="71" spans="1:10">
      <c r="A71" s="124">
        <v>70</v>
      </c>
      <c r="B71" s="124" t="s">
        <v>180</v>
      </c>
      <c r="C71" s="124" t="s">
        <v>643</v>
      </c>
      <c r="D71" s="124" t="str">
        <f t="shared" si="3"/>
        <v>Kim</v>
      </c>
      <c r="E71" s="124" t="s">
        <v>133</v>
      </c>
      <c r="F71" s="125">
        <v>35759</v>
      </c>
      <c r="G71" s="124" t="s">
        <v>106</v>
      </c>
      <c r="H71" s="126">
        <v>42</v>
      </c>
      <c r="I71" s="127">
        <v>39</v>
      </c>
      <c r="J71" s="127">
        <f t="shared" si="2"/>
        <v>1638</v>
      </c>
    </row>
    <row r="72" spans="1:10">
      <c r="A72" s="124">
        <v>71</v>
      </c>
      <c r="B72" s="124" t="s">
        <v>178</v>
      </c>
      <c r="C72" s="124" t="s">
        <v>644</v>
      </c>
      <c r="D72" s="124" t="str">
        <f t="shared" si="3"/>
        <v>Maria</v>
      </c>
      <c r="E72" s="124" t="s">
        <v>176</v>
      </c>
      <c r="F72" s="125">
        <v>36312</v>
      </c>
      <c r="G72" s="124" t="s">
        <v>106</v>
      </c>
      <c r="H72" s="126">
        <v>29.5</v>
      </c>
      <c r="I72" s="127">
        <v>28.3</v>
      </c>
      <c r="J72" s="127">
        <f t="shared" si="2"/>
        <v>834.85</v>
      </c>
    </row>
    <row r="73" spans="1:10">
      <c r="A73" s="124">
        <v>72</v>
      </c>
      <c r="B73" s="124" t="s">
        <v>175</v>
      </c>
      <c r="C73" s="124" t="s">
        <v>645</v>
      </c>
      <c r="D73" s="124" t="str">
        <f t="shared" si="3"/>
        <v>John</v>
      </c>
      <c r="E73" s="124" t="s">
        <v>173</v>
      </c>
      <c r="F73" s="125">
        <v>34609</v>
      </c>
      <c r="G73" s="124" t="s">
        <v>114</v>
      </c>
      <c r="H73" s="126">
        <v>40</v>
      </c>
      <c r="I73" s="127">
        <v>21.5</v>
      </c>
      <c r="J73" s="127">
        <f t="shared" si="2"/>
        <v>860</v>
      </c>
    </row>
    <row r="74" spans="1:10">
      <c r="A74" s="124">
        <v>73</v>
      </c>
      <c r="B74" s="124" t="s">
        <v>172</v>
      </c>
      <c r="C74" s="124" t="s">
        <v>646</v>
      </c>
      <c r="D74" s="124" t="str">
        <f t="shared" si="3"/>
        <v>Bradley</v>
      </c>
      <c r="E74" s="124" t="s">
        <v>170</v>
      </c>
      <c r="F74" s="125">
        <v>33646</v>
      </c>
      <c r="G74" s="124" t="s">
        <v>114</v>
      </c>
      <c r="H74" s="126">
        <v>40</v>
      </c>
      <c r="I74" s="127">
        <v>22.22</v>
      </c>
      <c r="J74" s="127">
        <f t="shared" si="2"/>
        <v>888.8</v>
      </c>
    </row>
    <row r="75" spans="1:10">
      <c r="A75" s="124">
        <v>74</v>
      </c>
      <c r="B75" s="124" t="s">
        <v>169</v>
      </c>
      <c r="C75" s="124" t="s">
        <v>647</v>
      </c>
      <c r="D75" s="124" t="str">
        <f t="shared" si="3"/>
        <v>Frieda</v>
      </c>
      <c r="E75" s="124" t="s">
        <v>107</v>
      </c>
      <c r="F75" s="125">
        <v>32919</v>
      </c>
      <c r="G75" s="124" t="s">
        <v>110</v>
      </c>
      <c r="H75" s="126">
        <v>40</v>
      </c>
      <c r="I75" s="127">
        <v>27.1</v>
      </c>
      <c r="J75" s="127">
        <f t="shared" si="2"/>
        <v>1084</v>
      </c>
    </row>
    <row r="76" spans="1:10">
      <c r="A76" s="124">
        <v>75</v>
      </c>
      <c r="B76" s="124" t="s">
        <v>167</v>
      </c>
      <c r="C76" s="124" t="s">
        <v>648</v>
      </c>
      <c r="D76" s="124" t="str">
        <f t="shared" si="3"/>
        <v>Holly</v>
      </c>
      <c r="E76" s="124" t="s">
        <v>165</v>
      </c>
      <c r="F76" s="125">
        <v>33831</v>
      </c>
      <c r="G76" s="124" t="s">
        <v>121</v>
      </c>
      <c r="H76" s="126">
        <v>29.5</v>
      </c>
      <c r="I76" s="127">
        <v>31.75</v>
      </c>
      <c r="J76" s="127">
        <f t="shared" si="2"/>
        <v>936.625</v>
      </c>
    </row>
    <row r="77" spans="1:10">
      <c r="A77" s="124">
        <v>76</v>
      </c>
      <c r="B77" s="124" t="s">
        <v>164</v>
      </c>
      <c r="C77" s="124" t="s">
        <v>649</v>
      </c>
      <c r="D77" s="124" t="str">
        <f t="shared" si="3"/>
        <v>Tim</v>
      </c>
      <c r="E77" s="124" t="s">
        <v>162</v>
      </c>
      <c r="F77" s="125">
        <v>35728</v>
      </c>
      <c r="G77" s="124" t="s">
        <v>110</v>
      </c>
      <c r="H77" s="126">
        <v>40</v>
      </c>
      <c r="I77" s="127">
        <v>21.5</v>
      </c>
      <c r="J77" s="127">
        <f t="shared" si="2"/>
        <v>860</v>
      </c>
    </row>
    <row r="78" spans="1:10">
      <c r="A78" s="124">
        <v>77</v>
      </c>
      <c r="B78" s="124" t="s">
        <v>161</v>
      </c>
      <c r="C78" s="124" t="s">
        <v>650</v>
      </c>
      <c r="D78" s="124" t="str">
        <f t="shared" si="3"/>
        <v>Esther</v>
      </c>
      <c r="E78" s="124" t="s">
        <v>159</v>
      </c>
      <c r="F78" s="125">
        <v>34679</v>
      </c>
      <c r="G78" s="124" t="s">
        <v>110</v>
      </c>
      <c r="H78" s="126">
        <v>40</v>
      </c>
      <c r="I78" s="127">
        <v>34.5</v>
      </c>
      <c r="J78" s="127">
        <f t="shared" si="2"/>
        <v>1380</v>
      </c>
    </row>
    <row r="79" spans="1:10">
      <c r="A79" s="124">
        <v>78</v>
      </c>
      <c r="B79" s="124" t="s">
        <v>158</v>
      </c>
      <c r="C79" s="124" t="s">
        <v>651</v>
      </c>
      <c r="D79" s="124" t="str">
        <f t="shared" si="3"/>
        <v>Theresa</v>
      </c>
      <c r="E79" s="124" t="s">
        <v>156</v>
      </c>
      <c r="F79" s="125">
        <v>36221</v>
      </c>
      <c r="G79" s="124" t="s">
        <v>155</v>
      </c>
      <c r="H79" s="126">
        <v>40</v>
      </c>
      <c r="I79" s="127">
        <v>48</v>
      </c>
      <c r="J79" s="127">
        <f t="shared" si="2"/>
        <v>1920</v>
      </c>
    </row>
    <row r="80" spans="1:10">
      <c r="A80" s="124">
        <v>79</v>
      </c>
      <c r="B80" s="124" t="s">
        <v>154</v>
      </c>
      <c r="C80" s="124" t="s">
        <v>652</v>
      </c>
      <c r="D80" s="124" t="str">
        <f t="shared" si="3"/>
        <v>Marianne</v>
      </c>
      <c r="E80" s="124" t="s">
        <v>152</v>
      </c>
      <c r="F80" s="125">
        <v>34171</v>
      </c>
      <c r="G80" s="124"/>
      <c r="H80" s="126">
        <v>40</v>
      </c>
      <c r="I80" s="127">
        <v>30</v>
      </c>
      <c r="J80" s="127">
        <f t="shared" si="2"/>
        <v>1200</v>
      </c>
    </row>
    <row r="81" spans="1:10">
      <c r="A81" s="124">
        <v>80</v>
      </c>
      <c r="B81" s="124" t="s">
        <v>151</v>
      </c>
      <c r="C81" s="124" t="s">
        <v>653</v>
      </c>
      <c r="D81" s="124" t="str">
        <f t="shared" si="3"/>
        <v/>
      </c>
      <c r="E81" s="124"/>
      <c r="F81" s="125"/>
      <c r="G81" s="124" t="s">
        <v>125</v>
      </c>
      <c r="H81" s="126">
        <v>40</v>
      </c>
      <c r="I81" s="127">
        <v>21.5</v>
      </c>
      <c r="J81" s="127">
        <f t="shared" si="2"/>
        <v>860</v>
      </c>
    </row>
    <row r="82" spans="1:10">
      <c r="A82" s="124">
        <v>81</v>
      </c>
      <c r="B82" s="124" t="s">
        <v>150</v>
      </c>
      <c r="C82" s="124" t="s">
        <v>654</v>
      </c>
      <c r="D82" s="124" t="str">
        <f t="shared" si="3"/>
        <v>Grace</v>
      </c>
      <c r="E82" s="124" t="s">
        <v>148</v>
      </c>
      <c r="F82" s="125">
        <v>33908</v>
      </c>
      <c r="G82" s="124" t="s">
        <v>129</v>
      </c>
      <c r="H82" s="126">
        <v>40</v>
      </c>
      <c r="I82" s="127">
        <v>30.5</v>
      </c>
      <c r="J82" s="127">
        <f t="shared" si="2"/>
        <v>1220</v>
      </c>
    </row>
    <row r="83" spans="1:10">
      <c r="A83" s="124">
        <v>82</v>
      </c>
      <c r="B83" s="124" t="s">
        <v>147</v>
      </c>
      <c r="C83" s="124" t="s">
        <v>655</v>
      </c>
      <c r="D83" s="124" t="str">
        <f t="shared" si="3"/>
        <v>Richard</v>
      </c>
      <c r="E83" s="124" t="s">
        <v>145</v>
      </c>
      <c r="F83" s="125">
        <v>35451</v>
      </c>
      <c r="G83" s="124"/>
      <c r="H83" s="126">
        <v>29.5</v>
      </c>
      <c r="I83" s="127">
        <v>30</v>
      </c>
      <c r="J83" s="127">
        <f t="shared" si="2"/>
        <v>885</v>
      </c>
    </row>
    <row r="84" spans="1:10">
      <c r="A84" s="124">
        <v>83</v>
      </c>
      <c r="B84" s="124" t="s">
        <v>144</v>
      </c>
      <c r="C84" s="124" t="s">
        <v>656</v>
      </c>
      <c r="D84" s="124" t="str">
        <f t="shared" si="3"/>
        <v>Lorrie</v>
      </c>
      <c r="E84" s="124" t="s">
        <v>142</v>
      </c>
      <c r="F84" s="125">
        <v>32568</v>
      </c>
      <c r="G84" s="124" t="s">
        <v>129</v>
      </c>
      <c r="H84" s="126">
        <v>15.5</v>
      </c>
      <c r="I84" s="127">
        <v>27.6</v>
      </c>
      <c r="J84" s="127">
        <f t="shared" si="2"/>
        <v>427.8</v>
      </c>
    </row>
    <row r="85" spans="1:10">
      <c r="A85" s="124">
        <v>84</v>
      </c>
      <c r="B85" s="124" t="s">
        <v>141</v>
      </c>
      <c r="C85" s="124" t="s">
        <v>657</v>
      </c>
      <c r="D85" s="124" t="str">
        <f t="shared" si="3"/>
        <v>Ted</v>
      </c>
      <c r="E85" s="124" t="s">
        <v>139</v>
      </c>
      <c r="F85" s="125">
        <v>34673</v>
      </c>
      <c r="G85" s="124" t="s">
        <v>110</v>
      </c>
      <c r="H85" s="126">
        <v>32</v>
      </c>
      <c r="I85" s="127">
        <v>23.75</v>
      </c>
      <c r="J85" s="127">
        <f t="shared" si="2"/>
        <v>760</v>
      </c>
    </row>
    <row r="86" spans="1:10">
      <c r="A86" s="124">
        <v>85</v>
      </c>
      <c r="B86" s="124" t="s">
        <v>138</v>
      </c>
      <c r="C86" s="124" t="s">
        <v>658</v>
      </c>
      <c r="D86" s="124" t="str">
        <f t="shared" si="3"/>
        <v>Helen</v>
      </c>
      <c r="E86" s="124" t="s">
        <v>136</v>
      </c>
      <c r="F86" s="125">
        <v>35916</v>
      </c>
      <c r="G86" s="124"/>
      <c r="H86" s="126">
        <v>42</v>
      </c>
      <c r="I86" s="127">
        <v>30.5</v>
      </c>
      <c r="J86" s="127">
        <f t="shared" si="2"/>
        <v>1281</v>
      </c>
    </row>
    <row r="87" spans="1:10">
      <c r="A87" s="124">
        <v>86</v>
      </c>
      <c r="B87" s="124" t="s">
        <v>135</v>
      </c>
      <c r="C87" s="124" t="s">
        <v>659</v>
      </c>
      <c r="D87" s="124" t="str">
        <f t="shared" si="3"/>
        <v>Katie</v>
      </c>
      <c r="E87" s="124" t="s">
        <v>133</v>
      </c>
      <c r="F87" s="125">
        <v>34610</v>
      </c>
      <c r="G87" s="124" t="s">
        <v>129</v>
      </c>
      <c r="H87" s="126">
        <v>40</v>
      </c>
      <c r="I87" s="127">
        <v>30</v>
      </c>
      <c r="J87" s="127">
        <f t="shared" si="2"/>
        <v>1200</v>
      </c>
    </row>
    <row r="88" spans="1:10">
      <c r="A88" s="124">
        <v>87</v>
      </c>
      <c r="B88" s="124" t="s">
        <v>132</v>
      </c>
      <c r="C88" s="124" t="s">
        <v>660</v>
      </c>
      <c r="D88" s="124" t="str">
        <f t="shared" si="3"/>
        <v>Jane</v>
      </c>
      <c r="E88" s="124" t="s">
        <v>130</v>
      </c>
      <c r="F88" s="125">
        <v>35739</v>
      </c>
      <c r="G88" s="124" t="s">
        <v>129</v>
      </c>
      <c r="H88" s="126">
        <v>35</v>
      </c>
      <c r="I88" s="127">
        <v>60</v>
      </c>
      <c r="J88" s="127">
        <f t="shared" si="2"/>
        <v>2100</v>
      </c>
    </row>
    <row r="89" spans="1:10">
      <c r="A89" s="124">
        <v>88</v>
      </c>
      <c r="B89" s="124" t="s">
        <v>128</v>
      </c>
      <c r="C89" s="124" t="s">
        <v>661</v>
      </c>
      <c r="D89" s="124" t="str">
        <f t="shared" si="3"/>
        <v>Paul</v>
      </c>
      <c r="E89" s="124" t="s">
        <v>126</v>
      </c>
      <c r="F89" s="125">
        <v>31884</v>
      </c>
      <c r="G89" s="124" t="s">
        <v>125</v>
      </c>
      <c r="H89" s="126">
        <v>40</v>
      </c>
      <c r="I89" s="127">
        <v>21.5</v>
      </c>
      <c r="J89" s="127">
        <f t="shared" si="2"/>
        <v>860</v>
      </c>
    </row>
    <row r="90" spans="1:10">
      <c r="A90" s="124">
        <v>89</v>
      </c>
      <c r="B90" s="124" t="s">
        <v>124</v>
      </c>
      <c r="C90" s="124" t="s">
        <v>662</v>
      </c>
      <c r="D90" s="124" t="str">
        <f t="shared" si="3"/>
        <v>Geoff</v>
      </c>
      <c r="E90" s="124" t="s">
        <v>122</v>
      </c>
      <c r="F90" s="125">
        <v>34879</v>
      </c>
      <c r="G90" s="124" t="s">
        <v>121</v>
      </c>
      <c r="H90" s="126">
        <v>40</v>
      </c>
      <c r="I90" s="127">
        <v>21.5</v>
      </c>
      <c r="J90" s="127">
        <f t="shared" si="2"/>
        <v>860</v>
      </c>
    </row>
    <row r="91" spans="1:10">
      <c r="A91" s="124">
        <v>90</v>
      </c>
      <c r="B91" s="124" t="s">
        <v>120</v>
      </c>
      <c r="C91" s="124" t="s">
        <v>663</v>
      </c>
      <c r="D91" s="124" t="str">
        <f t="shared" si="3"/>
        <v>Alice</v>
      </c>
      <c r="E91" s="124" t="s">
        <v>118</v>
      </c>
      <c r="F91" s="125">
        <v>34758</v>
      </c>
      <c r="G91" s="124" t="s">
        <v>106</v>
      </c>
      <c r="H91" s="126">
        <v>15.5</v>
      </c>
      <c r="I91" s="127">
        <v>20.5</v>
      </c>
      <c r="J91" s="127">
        <f t="shared" si="2"/>
        <v>317.75</v>
      </c>
    </row>
    <row r="92" spans="1:10">
      <c r="A92" s="124">
        <v>91</v>
      </c>
      <c r="B92" s="124" t="s">
        <v>117</v>
      </c>
      <c r="C92" s="124" t="s">
        <v>664</v>
      </c>
      <c r="D92" s="124" t="str">
        <f t="shared" si="3"/>
        <v>Greg</v>
      </c>
      <c r="E92" s="124" t="s">
        <v>115</v>
      </c>
      <c r="F92" s="125">
        <v>35055</v>
      </c>
      <c r="G92" s="124" t="s">
        <v>114</v>
      </c>
      <c r="H92" s="126">
        <v>40</v>
      </c>
      <c r="I92" s="127">
        <v>31.75</v>
      </c>
      <c r="J92" s="127">
        <f t="shared" si="2"/>
        <v>1270</v>
      </c>
    </row>
    <row r="93" spans="1:10">
      <c r="A93" s="124">
        <v>92</v>
      </c>
      <c r="B93" s="124" t="s">
        <v>113</v>
      </c>
      <c r="C93" s="124" t="s">
        <v>665</v>
      </c>
      <c r="D93" s="124" t="str">
        <f t="shared" si="3"/>
        <v>Sam</v>
      </c>
      <c r="E93" s="124" t="s">
        <v>111</v>
      </c>
      <c r="F93" s="125">
        <v>33568</v>
      </c>
      <c r="G93" s="124" t="s">
        <v>110</v>
      </c>
      <c r="H93" s="126">
        <v>40</v>
      </c>
      <c r="I93" s="127">
        <v>22.22</v>
      </c>
      <c r="J93" s="127">
        <f t="shared" si="2"/>
        <v>888.8</v>
      </c>
    </row>
    <row r="94" spans="1:10">
      <c r="A94" s="124">
        <v>93</v>
      </c>
      <c r="B94" s="124" t="s">
        <v>109</v>
      </c>
      <c r="C94" s="124" t="s">
        <v>666</v>
      </c>
      <c r="D94" s="124" t="str">
        <f t="shared" si="3"/>
        <v>Erin</v>
      </c>
      <c r="E94" s="124" t="s">
        <v>107</v>
      </c>
      <c r="F94" s="125">
        <v>36256</v>
      </c>
      <c r="G94" s="124" t="s">
        <v>106</v>
      </c>
      <c r="H94" s="126">
        <v>40</v>
      </c>
      <c r="I94" s="127">
        <v>47</v>
      </c>
      <c r="J94" s="127">
        <f t="shared" si="2"/>
        <v>1880</v>
      </c>
    </row>
    <row r="95" spans="1:10">
      <c r="A95" s="124">
        <v>94</v>
      </c>
      <c r="B95" s="124" t="s">
        <v>105</v>
      </c>
      <c r="C95" s="124" t="s">
        <v>667</v>
      </c>
      <c r="D95" s="124" t="str">
        <f t="shared" si="3"/>
        <v>Amy</v>
      </c>
      <c r="E95" s="124" t="s">
        <v>103</v>
      </c>
      <c r="F95" s="125">
        <v>36037</v>
      </c>
      <c r="G95" s="124"/>
      <c r="H95" s="126">
        <v>15.5</v>
      </c>
      <c r="I95" s="127">
        <v>21.5</v>
      </c>
      <c r="J95" s="127">
        <f t="shared" si="2"/>
        <v>333.25</v>
      </c>
    </row>
  </sheetData>
  <protectedRanges>
    <protectedRange password="CF7A" sqref="H2:H95" name="Range1"/>
  </protectedRange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B23"/>
  <sheetViews>
    <sheetView zoomScale="110" zoomScaleNormal="110" workbookViewId="0">
      <selection activeCell="B21" sqref="B21"/>
    </sheetView>
  </sheetViews>
  <sheetFormatPr defaultRowHeight="15"/>
  <cols>
    <col min="1" max="1" width="18.6640625" bestFit="1" customWidth="1"/>
    <col min="2" max="2" width="16.6640625" style="61" customWidth="1"/>
  </cols>
  <sheetData>
    <row r="1" spans="1:2" ht="15.75">
      <c r="A1" s="128" t="s">
        <v>552</v>
      </c>
      <c r="B1" s="130">
        <v>40909</v>
      </c>
    </row>
    <row r="2" spans="1:2" ht="15.75">
      <c r="A2" s="128" t="s">
        <v>553</v>
      </c>
      <c r="B2" s="131">
        <v>90</v>
      </c>
    </row>
    <row r="4" spans="1:2" ht="15.75">
      <c r="A4" s="297" t="s">
        <v>554</v>
      </c>
      <c r="B4" s="297"/>
    </row>
    <row r="5" spans="1:2">
      <c r="A5" s="129" t="s">
        <v>555</v>
      </c>
      <c r="B5" s="102">
        <v>40934</v>
      </c>
    </row>
    <row r="6" spans="1:2">
      <c r="A6" s="65" t="s">
        <v>556</v>
      </c>
      <c r="B6" s="102">
        <v>40959</v>
      </c>
    </row>
    <row r="7" spans="1:2">
      <c r="A7" s="65" t="s">
        <v>557</v>
      </c>
      <c r="B7" s="102">
        <v>40991</v>
      </c>
    </row>
    <row r="8" spans="1:2">
      <c r="A8" s="65" t="s">
        <v>558</v>
      </c>
      <c r="B8" s="102">
        <v>41005</v>
      </c>
    </row>
    <row r="9" spans="1:2">
      <c r="A9" s="65" t="s">
        <v>559</v>
      </c>
      <c r="B9" s="102">
        <v>41030</v>
      </c>
    </row>
    <row r="10" spans="1:2">
      <c r="A10" s="65" t="s">
        <v>560</v>
      </c>
      <c r="B10" s="102">
        <v>41136</v>
      </c>
    </row>
    <row r="11" spans="1:2">
      <c r="A11" s="65" t="s">
        <v>561</v>
      </c>
      <c r="B11" s="102">
        <v>41150</v>
      </c>
    </row>
    <row r="12" spans="1:2">
      <c r="A12" s="65" t="s">
        <v>562</v>
      </c>
      <c r="B12" s="102">
        <v>41171</v>
      </c>
    </row>
    <row r="13" spans="1:2">
      <c r="A13" s="65" t="s">
        <v>563</v>
      </c>
      <c r="B13" s="102">
        <v>41184</v>
      </c>
    </row>
    <row r="14" spans="1:2">
      <c r="A14" s="65" t="s">
        <v>564</v>
      </c>
      <c r="B14" s="102">
        <v>41197</v>
      </c>
    </row>
    <row r="15" spans="1:2">
      <c r="A15" s="65" t="s">
        <v>565</v>
      </c>
      <c r="B15" s="102">
        <v>41205</v>
      </c>
    </row>
    <row r="16" spans="1:2">
      <c r="A16" s="65" t="s">
        <v>566</v>
      </c>
      <c r="B16" s="102">
        <v>41206</v>
      </c>
    </row>
    <row r="17" spans="1:2">
      <c r="A17" s="65" t="s">
        <v>567</v>
      </c>
      <c r="B17" s="102">
        <v>41214</v>
      </c>
    </row>
    <row r="18" spans="1:2">
      <c r="A18" s="65" t="s">
        <v>568</v>
      </c>
      <c r="B18" s="102">
        <v>41226</v>
      </c>
    </row>
    <row r="19" spans="1:2">
      <c r="A19" s="65" t="s">
        <v>569</v>
      </c>
      <c r="B19" s="102">
        <v>41268</v>
      </c>
    </row>
    <row r="21" spans="1:2" ht="15.75">
      <c r="A21" s="128" t="s">
        <v>570</v>
      </c>
      <c r="B21" s="239">
        <f>WORKDAY.INTL(B1,B2,,B5:B19)</f>
        <v>41040</v>
      </c>
    </row>
    <row r="23" spans="1:2">
      <c r="B23" s="61">
        <f>WORKDAY.INTL(B1,B2,,B5:B19)</f>
        <v>41040</v>
      </c>
    </row>
  </sheetData>
  <mergeCells count="1">
    <mergeCell ref="A4:B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B22"/>
  <sheetViews>
    <sheetView zoomScale="110" zoomScaleNormal="110" workbookViewId="0">
      <selection activeCell="B22" sqref="B22"/>
    </sheetView>
  </sheetViews>
  <sheetFormatPr defaultColWidth="8.77734375" defaultRowHeight="15"/>
  <cols>
    <col min="1" max="1" width="19.5546875" style="133" customWidth="1"/>
    <col min="2" max="2" width="14.21875" style="61" customWidth="1"/>
    <col min="3" max="16384" width="8.77734375" style="133"/>
  </cols>
  <sheetData>
    <row r="1" spans="1:2" ht="15.75">
      <c r="A1" s="132" t="s">
        <v>552</v>
      </c>
      <c r="B1" s="102">
        <v>40909</v>
      </c>
    </row>
    <row r="2" spans="1:2" ht="15.75">
      <c r="A2" s="132" t="s">
        <v>571</v>
      </c>
      <c r="B2" s="102">
        <v>41059</v>
      </c>
    </row>
    <row r="4" spans="1:2" ht="15.75">
      <c r="A4" s="298" t="s">
        <v>554</v>
      </c>
      <c r="B4" s="298"/>
    </row>
    <row r="5" spans="1:2">
      <c r="A5" s="134" t="s">
        <v>555</v>
      </c>
      <c r="B5" s="102">
        <v>40934</v>
      </c>
    </row>
    <row r="6" spans="1:2">
      <c r="A6" s="134" t="s">
        <v>556</v>
      </c>
      <c r="B6" s="102">
        <v>40959</v>
      </c>
    </row>
    <row r="7" spans="1:2">
      <c r="A7" s="134" t="s">
        <v>557</v>
      </c>
      <c r="B7" s="102">
        <v>40991</v>
      </c>
    </row>
    <row r="8" spans="1:2">
      <c r="A8" s="134" t="s">
        <v>558</v>
      </c>
      <c r="B8" s="102">
        <v>41005</v>
      </c>
    </row>
    <row r="9" spans="1:2">
      <c r="A9" s="134" t="s">
        <v>559</v>
      </c>
      <c r="B9" s="102">
        <v>41030</v>
      </c>
    </row>
    <row r="10" spans="1:2">
      <c r="A10" s="134" t="s">
        <v>560</v>
      </c>
      <c r="B10" s="102">
        <v>41136</v>
      </c>
    </row>
    <row r="11" spans="1:2">
      <c r="A11" s="134" t="s">
        <v>561</v>
      </c>
      <c r="B11" s="102">
        <v>41150</v>
      </c>
    </row>
    <row r="12" spans="1:2">
      <c r="A12" s="134" t="s">
        <v>562</v>
      </c>
      <c r="B12" s="102">
        <v>41171</v>
      </c>
    </row>
    <row r="13" spans="1:2">
      <c r="A13" s="134" t="s">
        <v>563</v>
      </c>
      <c r="B13" s="102">
        <v>41184</v>
      </c>
    </row>
    <row r="14" spans="1:2">
      <c r="A14" s="134" t="s">
        <v>564</v>
      </c>
      <c r="B14" s="102">
        <v>41197</v>
      </c>
    </row>
    <row r="15" spans="1:2">
      <c r="A15" s="134" t="s">
        <v>565</v>
      </c>
      <c r="B15" s="102">
        <v>41205</v>
      </c>
    </row>
    <row r="16" spans="1:2">
      <c r="A16" s="134" t="s">
        <v>566</v>
      </c>
      <c r="B16" s="102">
        <v>41206</v>
      </c>
    </row>
    <row r="17" spans="1:2">
      <c r="A17" s="134" t="s">
        <v>567</v>
      </c>
      <c r="B17" s="102">
        <v>41214</v>
      </c>
    </row>
    <row r="18" spans="1:2">
      <c r="A18" s="134" t="s">
        <v>568</v>
      </c>
      <c r="B18" s="102">
        <v>41226</v>
      </c>
    </row>
    <row r="19" spans="1:2">
      <c r="A19" s="134" t="s">
        <v>569</v>
      </c>
      <c r="B19" s="102">
        <v>41268</v>
      </c>
    </row>
    <row r="22" spans="1:2" ht="15.75">
      <c r="A22" s="132" t="s">
        <v>572</v>
      </c>
      <c r="B22" s="63">
        <f>NETWORKDAYS.INTL(B1,B2,1,B5:B19)</f>
        <v>103</v>
      </c>
    </row>
  </sheetData>
  <mergeCells count="1">
    <mergeCell ref="A4:B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A1:R24"/>
  <sheetViews>
    <sheetView zoomScale="120" zoomScaleNormal="120" workbookViewId="0">
      <selection activeCell="K3" sqref="K3"/>
    </sheetView>
  </sheetViews>
  <sheetFormatPr defaultColWidth="8.88671875" defaultRowHeight="15"/>
  <cols>
    <col min="1" max="1" width="8.21875" style="26" customWidth="1"/>
    <col min="2" max="2" width="10.21875" style="139" customWidth="1"/>
    <col min="3" max="3" width="8.88671875" style="26"/>
    <col min="4" max="4" width="8.88671875" style="26" customWidth="1"/>
    <col min="5" max="7" width="8.88671875" style="26"/>
    <col min="8" max="8" width="11" style="26" customWidth="1"/>
    <col min="9" max="10" width="8.88671875" style="26"/>
    <col min="11" max="11" width="19.21875" style="26" bestFit="1" customWidth="1"/>
    <col min="12" max="12" width="11.6640625" style="26" customWidth="1"/>
    <col min="13" max="13" width="12.109375" style="26" customWidth="1"/>
    <col min="14" max="14" width="13.109375" style="26" customWidth="1"/>
    <col min="15" max="16384" width="8.88671875" style="26"/>
  </cols>
  <sheetData>
    <row r="1" spans="1:18" ht="16.899999999999999" customHeight="1">
      <c r="A1" s="136" t="s">
        <v>82</v>
      </c>
      <c r="B1" s="137" t="s">
        <v>37</v>
      </c>
      <c r="C1" s="136" t="s">
        <v>97</v>
      </c>
      <c r="D1" s="136" t="s">
        <v>715</v>
      </c>
      <c r="E1" s="136" t="s">
        <v>96</v>
      </c>
      <c r="F1" s="136" t="s">
        <v>95</v>
      </c>
      <c r="G1" s="136" t="s">
        <v>94</v>
      </c>
      <c r="H1" s="136" t="s">
        <v>93</v>
      </c>
      <c r="I1" s="135"/>
      <c r="J1" s="135"/>
      <c r="L1" s="135"/>
      <c r="M1" s="135"/>
      <c r="N1" s="135"/>
      <c r="O1" s="135"/>
      <c r="P1" s="135"/>
      <c r="Q1" s="135"/>
      <c r="R1" s="135"/>
    </row>
    <row r="2" spans="1:18" ht="15.75">
      <c r="A2" s="27">
        <v>1</v>
      </c>
      <c r="B2" s="138" t="s">
        <v>81</v>
      </c>
      <c r="C2" s="27">
        <v>45</v>
      </c>
      <c r="D2" s="27">
        <v>56</v>
      </c>
      <c r="E2" s="27">
        <v>72</v>
      </c>
      <c r="F2" s="27">
        <v>65</v>
      </c>
      <c r="G2" s="27">
        <v>50</v>
      </c>
      <c r="H2" s="27">
        <v>78</v>
      </c>
      <c r="J2" s="61"/>
      <c r="K2" s="136" t="s">
        <v>97</v>
      </c>
      <c r="L2" s="136" t="s">
        <v>93</v>
      </c>
      <c r="M2" s="136" t="s">
        <v>96</v>
      </c>
      <c r="N2" s="136" t="s">
        <v>95</v>
      </c>
    </row>
    <row r="3" spans="1:18">
      <c r="A3" s="27">
        <v>2</v>
      </c>
      <c r="B3" s="138" t="s">
        <v>80</v>
      </c>
      <c r="C3" s="27">
        <v>75</v>
      </c>
      <c r="D3" s="27">
        <v>45</v>
      </c>
      <c r="E3" s="27">
        <v>67</v>
      </c>
      <c r="F3" s="27">
        <v>89</v>
      </c>
      <c r="G3" s="27">
        <v>34</v>
      </c>
      <c r="H3" s="27">
        <v>58</v>
      </c>
      <c r="J3" s="27" t="s">
        <v>81</v>
      </c>
      <c r="K3" s="63">
        <f>VLOOKUP($J3,$B$1:$H$21,MATCH(K$2,$B$1:$H$1,0),0)</f>
        <v>45</v>
      </c>
      <c r="L3" s="63">
        <f t="shared" ref="L3:N6" si="0">VLOOKUP($J3,$B$1:$H$21,MATCH(L$2,$B$1:$H$1,0),0)</f>
        <v>78</v>
      </c>
      <c r="M3" s="63">
        <f t="shared" si="0"/>
        <v>72</v>
      </c>
      <c r="N3" s="63">
        <f t="shared" si="0"/>
        <v>65</v>
      </c>
    </row>
    <row r="4" spans="1:18">
      <c r="A4" s="27">
        <v>3</v>
      </c>
      <c r="B4" s="138" t="s">
        <v>79</v>
      </c>
      <c r="C4" s="27">
        <v>87</v>
      </c>
      <c r="D4" s="27">
        <v>45</v>
      </c>
      <c r="E4" s="27">
        <v>65</v>
      </c>
      <c r="F4" s="27">
        <v>56</v>
      </c>
      <c r="G4" s="27">
        <v>56</v>
      </c>
      <c r="H4" s="27">
        <v>65</v>
      </c>
      <c r="J4" s="27" t="s">
        <v>77</v>
      </c>
      <c r="K4" s="63">
        <f t="shared" ref="K4:K6" si="1">VLOOKUP($J4,$B$1:$H$21,MATCH(K$2,$B$1:$H$1,0),0)</f>
        <v>56</v>
      </c>
      <c r="L4" s="63">
        <f t="shared" si="0"/>
        <v>76</v>
      </c>
      <c r="M4" s="63">
        <f t="shared" si="0"/>
        <v>77</v>
      </c>
      <c r="N4" s="63">
        <f t="shared" si="0"/>
        <v>68</v>
      </c>
    </row>
    <row r="5" spans="1:18">
      <c r="A5" s="27">
        <v>4</v>
      </c>
      <c r="B5" s="138" t="s">
        <v>78</v>
      </c>
      <c r="C5" s="27">
        <v>67</v>
      </c>
      <c r="D5" s="27">
        <v>65</v>
      </c>
      <c r="E5" s="27">
        <v>67</v>
      </c>
      <c r="F5" s="27">
        <v>75</v>
      </c>
      <c r="G5" s="27">
        <v>67</v>
      </c>
      <c r="H5" s="27">
        <v>66</v>
      </c>
      <c r="J5" s="27" t="s">
        <v>92</v>
      </c>
      <c r="K5" s="63">
        <f t="shared" si="1"/>
        <v>45</v>
      </c>
      <c r="L5" s="63">
        <f t="shared" si="0"/>
        <v>78</v>
      </c>
      <c r="M5" s="63">
        <f t="shared" si="0"/>
        <v>72</v>
      </c>
      <c r="N5" s="63">
        <f t="shared" si="0"/>
        <v>65</v>
      </c>
    </row>
    <row r="6" spans="1:18">
      <c r="A6" s="27">
        <v>5</v>
      </c>
      <c r="B6" s="138" t="s">
        <v>77</v>
      </c>
      <c r="C6" s="27">
        <v>56</v>
      </c>
      <c r="D6" s="27">
        <v>67</v>
      </c>
      <c r="E6" s="27">
        <v>77</v>
      </c>
      <c r="F6" s="27">
        <v>68</v>
      </c>
      <c r="G6" s="27">
        <v>64</v>
      </c>
      <c r="H6" s="27">
        <v>76</v>
      </c>
      <c r="J6" s="27" t="s">
        <v>87</v>
      </c>
      <c r="K6" s="63">
        <f t="shared" si="1"/>
        <v>68</v>
      </c>
      <c r="L6" s="63">
        <f t="shared" si="0"/>
        <v>89</v>
      </c>
      <c r="M6" s="63">
        <f t="shared" si="0"/>
        <v>78</v>
      </c>
      <c r="N6" s="63">
        <f t="shared" si="0"/>
        <v>97</v>
      </c>
    </row>
    <row r="7" spans="1:18">
      <c r="A7" s="27">
        <v>6</v>
      </c>
      <c r="B7" s="138" t="s">
        <v>76</v>
      </c>
      <c r="C7" s="27">
        <v>68</v>
      </c>
      <c r="D7" s="27">
        <v>89</v>
      </c>
      <c r="E7" s="27">
        <v>78</v>
      </c>
      <c r="F7" s="27">
        <v>97</v>
      </c>
      <c r="G7" s="27">
        <v>56</v>
      </c>
      <c r="H7" s="27">
        <v>89</v>
      </c>
      <c r="J7"/>
      <c r="K7"/>
      <c r="L7"/>
      <c r="M7"/>
    </row>
    <row r="8" spans="1:18">
      <c r="A8" s="27">
        <v>7</v>
      </c>
      <c r="B8" s="138" t="s">
        <v>75</v>
      </c>
      <c r="C8" s="27">
        <v>68</v>
      </c>
      <c r="D8" s="27">
        <v>65</v>
      </c>
      <c r="E8" s="27">
        <v>68</v>
      </c>
      <c r="F8" s="27">
        <v>45</v>
      </c>
      <c r="G8" s="27">
        <v>45</v>
      </c>
      <c r="H8" s="27">
        <v>95</v>
      </c>
      <c r="J8"/>
      <c r="K8"/>
      <c r="L8"/>
      <c r="M8"/>
    </row>
    <row r="9" spans="1:18" ht="18">
      <c r="A9" s="27">
        <v>8</v>
      </c>
      <c r="B9" s="138" t="s">
        <v>74</v>
      </c>
      <c r="C9" s="27">
        <v>69</v>
      </c>
      <c r="D9" s="27">
        <v>34</v>
      </c>
      <c r="E9" s="27">
        <v>76</v>
      </c>
      <c r="F9" s="27">
        <v>68</v>
      </c>
      <c r="G9" s="27">
        <v>87</v>
      </c>
      <c r="H9" s="27">
        <v>59</v>
      </c>
      <c r="I9" s="242"/>
      <c r="J9" s="243"/>
      <c r="K9" s="243"/>
      <c r="L9" s="243"/>
    </row>
    <row r="10" spans="1:18">
      <c r="A10" s="27">
        <v>9</v>
      </c>
      <c r="B10" s="138" t="s">
        <v>73</v>
      </c>
      <c r="C10" s="27">
        <v>79</v>
      </c>
      <c r="D10" s="27">
        <v>56</v>
      </c>
      <c r="E10" s="27">
        <v>86</v>
      </c>
      <c r="F10" s="27">
        <v>56</v>
      </c>
      <c r="G10" s="27">
        <v>75</v>
      </c>
      <c r="H10" s="27">
        <v>78</v>
      </c>
      <c r="J10"/>
      <c r="K10" s="244" t="s">
        <v>785</v>
      </c>
      <c r="L10" s="244"/>
      <c r="M10" s="244"/>
    </row>
    <row r="11" spans="1:18">
      <c r="A11" s="27">
        <v>10</v>
      </c>
      <c r="B11" s="138" t="s">
        <v>72</v>
      </c>
      <c r="C11" s="27">
        <v>89</v>
      </c>
      <c r="D11" s="27">
        <v>76</v>
      </c>
      <c r="E11" s="27">
        <v>67</v>
      </c>
      <c r="F11" s="27">
        <v>77</v>
      </c>
      <c r="G11" s="27">
        <v>76</v>
      </c>
      <c r="H11" s="27">
        <v>77</v>
      </c>
      <c r="J11"/>
      <c r="K11" s="299" t="s">
        <v>782</v>
      </c>
      <c r="L11" s="299"/>
    </row>
    <row r="12" spans="1:18">
      <c r="A12" s="27">
        <v>11</v>
      </c>
      <c r="B12" s="138" t="s">
        <v>92</v>
      </c>
      <c r="C12" s="27">
        <v>45</v>
      </c>
      <c r="D12" s="27">
        <v>56</v>
      </c>
      <c r="E12" s="27">
        <v>72</v>
      </c>
      <c r="F12" s="27">
        <v>65</v>
      </c>
      <c r="G12" s="27">
        <v>50</v>
      </c>
      <c r="H12" s="27">
        <v>78</v>
      </c>
      <c r="J12"/>
      <c r="K12" s="299" t="s">
        <v>783</v>
      </c>
      <c r="L12" s="299"/>
    </row>
    <row r="13" spans="1:18">
      <c r="A13" s="27">
        <v>12</v>
      </c>
      <c r="B13" s="138" t="s">
        <v>91</v>
      </c>
      <c r="C13" s="27">
        <v>75</v>
      </c>
      <c r="D13" s="27">
        <v>65</v>
      </c>
      <c r="E13" s="27">
        <v>67</v>
      </c>
      <c r="F13" s="27">
        <v>89</v>
      </c>
      <c r="G13" s="27">
        <v>34</v>
      </c>
      <c r="H13" s="27">
        <v>58</v>
      </c>
      <c r="K13" s="300" t="s">
        <v>784</v>
      </c>
      <c r="L13" s="300"/>
    </row>
    <row r="14" spans="1:18">
      <c r="A14" s="27">
        <v>13</v>
      </c>
      <c r="B14" s="138" t="s">
        <v>90</v>
      </c>
      <c r="C14" s="27">
        <v>87</v>
      </c>
      <c r="D14" s="27">
        <v>45</v>
      </c>
      <c r="E14" s="27">
        <v>65</v>
      </c>
      <c r="F14" s="27">
        <v>56</v>
      </c>
      <c r="G14" s="27">
        <v>56</v>
      </c>
      <c r="H14" s="27">
        <v>65</v>
      </c>
      <c r="L14" s="240"/>
    </row>
    <row r="15" spans="1:18">
      <c r="A15" s="27">
        <v>14</v>
      </c>
      <c r="B15" s="138" t="s">
        <v>89</v>
      </c>
      <c r="C15" s="27">
        <v>67</v>
      </c>
      <c r="D15" s="27">
        <v>65</v>
      </c>
      <c r="E15" s="27">
        <v>67</v>
      </c>
      <c r="F15" s="27">
        <v>75</v>
      </c>
      <c r="G15" s="27">
        <v>67</v>
      </c>
      <c r="H15" s="27">
        <v>66</v>
      </c>
    </row>
    <row r="16" spans="1:18">
      <c r="A16" s="27">
        <v>15</v>
      </c>
      <c r="B16" s="138" t="s">
        <v>88</v>
      </c>
      <c r="C16" s="27">
        <v>56</v>
      </c>
      <c r="D16" s="27">
        <v>67</v>
      </c>
      <c r="E16" s="27">
        <v>77</v>
      </c>
      <c r="F16" s="27">
        <v>68</v>
      </c>
      <c r="G16" s="27">
        <v>64</v>
      </c>
      <c r="H16" s="27">
        <v>76</v>
      </c>
    </row>
    <row r="17" spans="1:18">
      <c r="A17" s="27">
        <v>16</v>
      </c>
      <c r="B17" s="138" t="s">
        <v>87</v>
      </c>
      <c r="C17" s="27">
        <v>68</v>
      </c>
      <c r="D17" s="27">
        <v>89</v>
      </c>
      <c r="E17" s="27">
        <v>78</v>
      </c>
      <c r="F17" s="27">
        <v>97</v>
      </c>
      <c r="G17" s="27">
        <v>56</v>
      </c>
      <c r="H17" s="27">
        <v>89</v>
      </c>
    </row>
    <row r="18" spans="1:18">
      <c r="A18" s="27">
        <v>17</v>
      </c>
      <c r="B18" s="138" t="s">
        <v>86</v>
      </c>
      <c r="C18" s="27">
        <v>68</v>
      </c>
      <c r="D18" s="27">
        <v>65</v>
      </c>
      <c r="E18" s="27">
        <v>68</v>
      </c>
      <c r="F18" s="27">
        <v>45</v>
      </c>
      <c r="G18" s="27">
        <v>45</v>
      </c>
      <c r="H18" s="27">
        <v>95</v>
      </c>
    </row>
    <row r="19" spans="1:18">
      <c r="A19" s="27">
        <v>18</v>
      </c>
      <c r="B19" s="138" t="s">
        <v>85</v>
      </c>
      <c r="C19" s="27">
        <v>69</v>
      </c>
      <c r="D19" s="27">
        <v>34</v>
      </c>
      <c r="E19" s="27">
        <v>76</v>
      </c>
      <c r="F19" s="27" t="s">
        <v>551</v>
      </c>
      <c r="G19" s="27">
        <v>87</v>
      </c>
      <c r="H19" s="27">
        <v>59</v>
      </c>
    </row>
    <row r="20" spans="1:18">
      <c r="A20" s="27">
        <v>19</v>
      </c>
      <c r="B20" s="138" t="s">
        <v>84</v>
      </c>
      <c r="C20" s="27">
        <v>79</v>
      </c>
      <c r="D20" s="27">
        <v>56</v>
      </c>
      <c r="E20" s="27">
        <v>86</v>
      </c>
      <c r="F20" s="27">
        <v>56</v>
      </c>
      <c r="G20" s="27">
        <v>75</v>
      </c>
      <c r="H20" s="27">
        <v>78</v>
      </c>
    </row>
    <row r="21" spans="1:18">
      <c r="A21" s="27">
        <v>20</v>
      </c>
      <c r="B21" s="138" t="s">
        <v>83</v>
      </c>
      <c r="C21" s="27">
        <v>78</v>
      </c>
      <c r="D21" s="27">
        <v>76</v>
      </c>
      <c r="E21" s="27">
        <v>67</v>
      </c>
      <c r="F21" s="27">
        <v>77</v>
      </c>
      <c r="G21" s="27">
        <v>76</v>
      </c>
      <c r="H21" s="27">
        <v>77</v>
      </c>
    </row>
    <row r="24" spans="1:18" ht="15.75">
      <c r="M24" s="135"/>
      <c r="N24" s="135"/>
      <c r="O24" s="135"/>
      <c r="P24" s="135"/>
      <c r="Q24" s="135"/>
      <c r="R24" s="135"/>
    </row>
  </sheetData>
  <sortState xmlns:xlrd2="http://schemas.microsoft.com/office/spreadsheetml/2017/richdata2" ref="J3:J22">
    <sortCondition ref="J3"/>
  </sortState>
  <customSheetViews>
    <customSheetView guid="{BBE43EB8-AC5B-419E-90E4-72D0C525AF66}">
      <selection activeCell="C3" sqref="C3:H22"/>
      <pageMargins left="0.7" right="0.7" top="0.75" bottom="0.75" header="0.3" footer="0.3"/>
    </customSheetView>
  </customSheetViews>
  <mergeCells count="3">
    <mergeCell ref="K11:L11"/>
    <mergeCell ref="K12:L12"/>
    <mergeCell ref="K13:L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FB90A-6A54-4619-B79F-FDCF6816B7D2}">
  <sheetPr codeName="Sheet9"/>
  <dimension ref="A1:E12"/>
  <sheetViews>
    <sheetView zoomScale="130" zoomScaleNormal="130" workbookViewId="0">
      <selection activeCell="A12" sqref="A12"/>
    </sheetView>
  </sheetViews>
  <sheetFormatPr defaultRowHeight="15"/>
  <cols>
    <col min="1" max="1" width="9.88671875" bestFit="1" customWidth="1"/>
    <col min="2" max="2" width="32" customWidth="1"/>
    <col min="3" max="3" width="14.21875" customWidth="1"/>
    <col min="4" max="4" width="10.88671875" customWidth="1"/>
    <col min="5" max="5" width="14.88671875" customWidth="1"/>
  </cols>
  <sheetData>
    <row r="1" spans="1:5" ht="15.75">
      <c r="A1" s="62" t="s">
        <v>745</v>
      </c>
      <c r="B1" s="62" t="s">
        <v>743</v>
      </c>
      <c r="C1" s="62" t="s">
        <v>36</v>
      </c>
      <c r="D1" s="62" t="s">
        <v>747</v>
      </c>
      <c r="E1" s="62" t="s">
        <v>744</v>
      </c>
    </row>
    <row r="2" spans="1:5">
      <c r="A2" s="63">
        <v>1</v>
      </c>
      <c r="B2" s="63" t="s">
        <v>746</v>
      </c>
      <c r="C2" s="63" t="s">
        <v>752</v>
      </c>
      <c r="D2" s="63" t="s">
        <v>757</v>
      </c>
      <c r="E2" s="63" t="s">
        <v>761</v>
      </c>
    </row>
    <row r="3" spans="1:5">
      <c r="A3" s="63">
        <v>2</v>
      </c>
      <c r="B3" s="63" t="s">
        <v>748</v>
      </c>
      <c r="C3" s="63" t="s">
        <v>753</v>
      </c>
      <c r="D3" s="63" t="s">
        <v>758</v>
      </c>
      <c r="E3" s="63" t="s">
        <v>762</v>
      </c>
    </row>
    <row r="4" spans="1:5">
      <c r="A4" s="63">
        <v>3</v>
      </c>
      <c r="B4" s="63" t="s">
        <v>749</v>
      </c>
      <c r="C4" s="63" t="s">
        <v>754</v>
      </c>
      <c r="D4" s="63" t="s">
        <v>759</v>
      </c>
      <c r="E4" s="63" t="s">
        <v>761</v>
      </c>
    </row>
    <row r="5" spans="1:5">
      <c r="A5" s="63">
        <v>4</v>
      </c>
      <c r="B5" s="63" t="s">
        <v>750</v>
      </c>
      <c r="C5" s="63" t="s">
        <v>755</v>
      </c>
      <c r="D5" s="63" t="s">
        <v>439</v>
      </c>
      <c r="E5" s="63" t="s">
        <v>763</v>
      </c>
    </row>
    <row r="6" spans="1:5">
      <c r="A6" s="63">
        <v>5</v>
      </c>
      <c r="B6" s="63" t="s">
        <v>751</v>
      </c>
      <c r="C6" s="63" t="s">
        <v>756</v>
      </c>
      <c r="D6" s="63" t="s">
        <v>760</v>
      </c>
      <c r="E6" s="63" t="s">
        <v>764</v>
      </c>
    </row>
    <row r="7" spans="1:5">
      <c r="A7" s="61"/>
      <c r="B7" s="61"/>
      <c r="C7" s="61"/>
      <c r="D7" s="61"/>
      <c r="E7" s="61"/>
    </row>
    <row r="8" spans="1:5">
      <c r="A8" s="61"/>
      <c r="B8" s="61"/>
    </row>
    <row r="9" spans="1:5" ht="15.75">
      <c r="A9" s="61"/>
      <c r="B9" s="103" t="s">
        <v>745</v>
      </c>
      <c r="C9" s="222">
        <v>5</v>
      </c>
      <c r="D9" s="61"/>
    </row>
    <row r="10" spans="1:5">
      <c r="A10" s="61"/>
      <c r="C10" s="61"/>
      <c r="D10" s="61"/>
    </row>
    <row r="11" spans="1:5" ht="15.75">
      <c r="B11" s="103" t="s">
        <v>743</v>
      </c>
      <c r="C11" s="103" t="s">
        <v>747</v>
      </c>
      <c r="D11" s="103" t="s">
        <v>744</v>
      </c>
      <c r="E11" s="103" t="s">
        <v>36</v>
      </c>
    </row>
    <row r="12" spans="1:5">
      <c r="B12" s="143" t="str">
        <f>INDEX($A$1:$E$6,MATCH($C$9,$A$2:$A$6,0),MATCH(B$11,$A$1:$E$1,0))</f>
        <v>HP Pavillion</v>
      </c>
      <c r="C12" s="143" t="str">
        <f t="shared" ref="C12:E12" si="0">INDEX($A$1:$E$6,MATCH($C$9,$A$2:$A$6,0),MATCH(C$11,$A$1:$E$1,0))</f>
        <v>HP</v>
      </c>
      <c r="D12" s="143" t="str">
        <f t="shared" si="0"/>
        <v>Korea</v>
      </c>
      <c r="E12" s="143" t="str">
        <f t="shared" si="0"/>
        <v>150K</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H29"/>
  <sheetViews>
    <sheetView topLeftCell="B1" zoomScale="120" zoomScaleNormal="120" workbookViewId="0">
      <selection activeCell="I5" sqref="I5"/>
    </sheetView>
  </sheetViews>
  <sheetFormatPr defaultRowHeight="15"/>
  <cols>
    <col min="4" max="4" width="13.33203125" customWidth="1"/>
    <col min="7" max="7" width="13.21875" customWidth="1"/>
    <col min="8" max="8" width="12.88671875" customWidth="1"/>
  </cols>
  <sheetData>
    <row r="1" spans="1:8" ht="18" customHeight="1">
      <c r="A1" s="74" t="s">
        <v>377</v>
      </c>
      <c r="B1" s="274" t="s">
        <v>376</v>
      </c>
      <c r="C1" s="274" t="s">
        <v>375</v>
      </c>
      <c r="D1" s="274" t="s">
        <v>374</v>
      </c>
      <c r="E1" s="274" t="s">
        <v>373</v>
      </c>
      <c r="F1" s="274" t="s">
        <v>372</v>
      </c>
      <c r="G1" s="275" t="s">
        <v>371</v>
      </c>
      <c r="H1" s="275" t="s">
        <v>370</v>
      </c>
    </row>
    <row r="2" spans="1:8">
      <c r="A2" s="2" t="s">
        <v>369</v>
      </c>
      <c r="B2" s="2" t="s">
        <v>368</v>
      </c>
      <c r="C2" s="2" t="s">
        <v>367</v>
      </c>
      <c r="D2" s="76">
        <v>34690</v>
      </c>
      <c r="E2" s="77" t="s">
        <v>110</v>
      </c>
      <c r="F2" s="78">
        <v>35.5</v>
      </c>
      <c r="G2" s="79">
        <v>45</v>
      </c>
      <c r="H2" s="79">
        <f t="shared" ref="H2:H29" si="0">F2*G2</f>
        <v>1597.5</v>
      </c>
    </row>
    <row r="3" spans="1:8">
      <c r="A3" s="2" t="s">
        <v>366</v>
      </c>
      <c r="B3" s="2" t="s">
        <v>365</v>
      </c>
      <c r="C3" s="2" t="s">
        <v>364</v>
      </c>
      <c r="D3" s="76">
        <v>34153</v>
      </c>
      <c r="E3" s="77" t="s">
        <v>121</v>
      </c>
      <c r="F3" s="78">
        <v>35.5</v>
      </c>
      <c r="G3" s="79">
        <v>28.3</v>
      </c>
      <c r="H3" s="79">
        <f t="shared" si="0"/>
        <v>1004.65</v>
      </c>
    </row>
    <row r="4" spans="1:8">
      <c r="A4" s="2" t="s">
        <v>363</v>
      </c>
      <c r="B4" s="2" t="s">
        <v>362</v>
      </c>
      <c r="C4" s="2" t="s">
        <v>184</v>
      </c>
      <c r="D4" s="76">
        <v>36000</v>
      </c>
      <c r="E4" s="77" t="s">
        <v>125</v>
      </c>
      <c r="F4" s="78">
        <v>42</v>
      </c>
      <c r="G4" s="79">
        <v>31.75</v>
      </c>
      <c r="H4" s="79">
        <f t="shared" si="0"/>
        <v>1333.5</v>
      </c>
    </row>
    <row r="5" spans="1:8">
      <c r="A5" s="2" t="s">
        <v>361</v>
      </c>
      <c r="B5" s="2" t="s">
        <v>360</v>
      </c>
      <c r="C5" s="2" t="s">
        <v>107</v>
      </c>
      <c r="D5" s="76">
        <v>35221</v>
      </c>
      <c r="E5" s="77" t="s">
        <v>106</v>
      </c>
      <c r="F5" s="78">
        <v>40</v>
      </c>
      <c r="G5" s="79">
        <v>23.75</v>
      </c>
      <c r="H5" s="79">
        <f t="shared" si="0"/>
        <v>950</v>
      </c>
    </row>
    <row r="6" spans="1:8">
      <c r="A6" s="2" t="s">
        <v>359</v>
      </c>
      <c r="B6" s="2" t="s">
        <v>358</v>
      </c>
      <c r="C6" s="2" t="s">
        <v>357</v>
      </c>
      <c r="D6" s="76">
        <v>33399</v>
      </c>
      <c r="E6" s="77" t="s">
        <v>125</v>
      </c>
      <c r="F6" s="78">
        <v>40</v>
      </c>
      <c r="G6" s="79">
        <v>27.6</v>
      </c>
      <c r="H6" s="79">
        <f t="shared" si="0"/>
        <v>1104</v>
      </c>
    </row>
    <row r="7" spans="1:8">
      <c r="A7" s="2" t="s">
        <v>356</v>
      </c>
      <c r="B7" s="2" t="s">
        <v>355</v>
      </c>
      <c r="C7" s="2" t="s">
        <v>354</v>
      </c>
      <c r="D7" s="76">
        <v>34853</v>
      </c>
      <c r="E7" s="77" t="s">
        <v>121</v>
      </c>
      <c r="F7" s="78">
        <v>35</v>
      </c>
      <c r="G7" s="79">
        <v>39</v>
      </c>
      <c r="H7" s="79">
        <f t="shared" si="0"/>
        <v>1365</v>
      </c>
    </row>
    <row r="8" spans="1:8">
      <c r="A8" s="2" t="s">
        <v>353</v>
      </c>
      <c r="B8" s="2" t="s">
        <v>157</v>
      </c>
      <c r="C8" s="2" t="s">
        <v>352</v>
      </c>
      <c r="D8" s="76">
        <v>35485</v>
      </c>
      <c r="E8" s="77" t="s">
        <v>106</v>
      </c>
      <c r="F8" s="78">
        <v>35</v>
      </c>
      <c r="G8" s="79">
        <v>27.1</v>
      </c>
      <c r="H8" s="79">
        <f t="shared" si="0"/>
        <v>948.5</v>
      </c>
    </row>
    <row r="9" spans="1:8">
      <c r="A9" s="2" t="s">
        <v>351</v>
      </c>
      <c r="B9" s="2" t="s">
        <v>350</v>
      </c>
      <c r="C9" s="2" t="s">
        <v>349</v>
      </c>
      <c r="D9" s="76">
        <v>33341</v>
      </c>
      <c r="E9" s="77" t="s">
        <v>121</v>
      </c>
      <c r="F9" s="78">
        <v>40</v>
      </c>
      <c r="G9" s="79">
        <v>48</v>
      </c>
      <c r="H9" s="79">
        <f t="shared" si="0"/>
        <v>1920</v>
      </c>
    </row>
    <row r="10" spans="1:8">
      <c r="A10" s="2" t="s">
        <v>348</v>
      </c>
      <c r="B10" s="2" t="s">
        <v>347</v>
      </c>
      <c r="C10" s="2" t="s">
        <v>346</v>
      </c>
      <c r="D10" s="76">
        <v>35825</v>
      </c>
      <c r="E10" s="77" t="s">
        <v>114</v>
      </c>
      <c r="F10" s="78">
        <v>35.5</v>
      </c>
      <c r="G10" s="79">
        <v>28.3</v>
      </c>
      <c r="H10" s="79">
        <f t="shared" si="0"/>
        <v>1004.65</v>
      </c>
    </row>
    <row r="11" spans="1:8">
      <c r="A11" s="2" t="s">
        <v>345</v>
      </c>
      <c r="B11" s="2" t="s">
        <v>344</v>
      </c>
      <c r="C11" s="2" t="s">
        <v>343</v>
      </c>
      <c r="D11" s="76">
        <v>36157</v>
      </c>
      <c r="E11" s="77"/>
      <c r="F11" s="78">
        <v>40</v>
      </c>
      <c r="G11" s="79">
        <v>36.5</v>
      </c>
      <c r="H11" s="79">
        <f t="shared" si="0"/>
        <v>1460</v>
      </c>
    </row>
    <row r="12" spans="1:8">
      <c r="A12" s="2" t="s">
        <v>342</v>
      </c>
      <c r="B12" s="2" t="s">
        <v>341</v>
      </c>
      <c r="C12" s="2" t="s">
        <v>340</v>
      </c>
      <c r="D12" s="76">
        <v>33822</v>
      </c>
      <c r="E12" s="77" t="s">
        <v>110</v>
      </c>
      <c r="F12" s="78">
        <v>35.5</v>
      </c>
      <c r="G12" s="79">
        <v>28.3</v>
      </c>
      <c r="H12" s="79">
        <f t="shared" si="0"/>
        <v>1004.65</v>
      </c>
    </row>
    <row r="13" spans="1:8">
      <c r="A13" s="2" t="s">
        <v>339</v>
      </c>
      <c r="B13" s="2" t="s">
        <v>338</v>
      </c>
      <c r="C13" s="2" t="s">
        <v>337</v>
      </c>
      <c r="D13" s="76">
        <v>35888</v>
      </c>
      <c r="E13" s="77" t="s">
        <v>125</v>
      </c>
      <c r="F13" s="78">
        <v>32</v>
      </c>
      <c r="G13" s="79">
        <v>20.5</v>
      </c>
      <c r="H13" s="79">
        <f t="shared" si="0"/>
        <v>656</v>
      </c>
    </row>
    <row r="14" spans="1:8">
      <c r="A14" s="2" t="s">
        <v>336</v>
      </c>
      <c r="B14" s="2" t="s">
        <v>335</v>
      </c>
      <c r="C14" s="2" t="s">
        <v>334</v>
      </c>
      <c r="D14" s="76">
        <v>33992</v>
      </c>
      <c r="E14" s="77" t="s">
        <v>551</v>
      </c>
      <c r="F14" s="78">
        <v>35.5</v>
      </c>
      <c r="G14" s="79">
        <v>50</v>
      </c>
      <c r="H14" s="79">
        <f t="shared" si="0"/>
        <v>1775</v>
      </c>
    </row>
    <row r="15" spans="1:8">
      <c r="A15" s="2" t="s">
        <v>333</v>
      </c>
      <c r="B15" s="2" t="s">
        <v>191</v>
      </c>
      <c r="C15" s="2" t="s">
        <v>332</v>
      </c>
      <c r="D15" s="76">
        <v>35195</v>
      </c>
      <c r="E15" s="77" t="s">
        <v>129</v>
      </c>
      <c r="F15" s="78">
        <v>40</v>
      </c>
      <c r="G15" s="79">
        <v>22.22</v>
      </c>
      <c r="H15" s="79">
        <f t="shared" si="0"/>
        <v>888.8</v>
      </c>
    </row>
    <row r="16" spans="1:8">
      <c r="A16" s="2" t="s">
        <v>331</v>
      </c>
      <c r="B16" s="2" t="s">
        <v>298</v>
      </c>
      <c r="C16" s="2" t="s">
        <v>330</v>
      </c>
      <c r="D16" s="76">
        <v>34858</v>
      </c>
      <c r="E16" s="77" t="s">
        <v>129</v>
      </c>
      <c r="F16" s="78">
        <v>40</v>
      </c>
      <c r="G16" s="79">
        <v>27.6</v>
      </c>
      <c r="H16" s="79">
        <f t="shared" si="0"/>
        <v>1104</v>
      </c>
    </row>
    <row r="17" spans="1:8">
      <c r="A17" s="2" t="s">
        <v>329</v>
      </c>
      <c r="B17" s="2" t="s">
        <v>286</v>
      </c>
      <c r="C17" s="2" t="s">
        <v>328</v>
      </c>
      <c r="D17" s="76">
        <v>34616</v>
      </c>
      <c r="E17" s="77" t="s">
        <v>129</v>
      </c>
      <c r="F17" s="78">
        <v>35.5</v>
      </c>
      <c r="G17" s="79">
        <v>55</v>
      </c>
      <c r="H17" s="79">
        <f t="shared" si="0"/>
        <v>1952.5</v>
      </c>
    </row>
    <row r="18" spans="1:8">
      <c r="A18" s="2" t="s">
        <v>327</v>
      </c>
      <c r="B18" s="2" t="s">
        <v>241</v>
      </c>
      <c r="C18" s="2" t="s">
        <v>326</v>
      </c>
      <c r="D18" s="76">
        <v>34094</v>
      </c>
      <c r="E18" s="77" t="s">
        <v>155</v>
      </c>
      <c r="F18" s="78">
        <v>40</v>
      </c>
      <c r="G18" s="79">
        <v>37</v>
      </c>
      <c r="H18" s="79">
        <f t="shared" si="0"/>
        <v>1480</v>
      </c>
    </row>
    <row r="19" spans="1:8">
      <c r="A19" s="2" t="s">
        <v>325</v>
      </c>
      <c r="B19" s="2" t="s">
        <v>127</v>
      </c>
      <c r="C19" s="2" t="s">
        <v>324</v>
      </c>
      <c r="D19" s="76">
        <v>35050</v>
      </c>
      <c r="E19" s="77" t="s">
        <v>155</v>
      </c>
      <c r="F19" s="78">
        <v>40</v>
      </c>
      <c r="G19" s="79">
        <v>37</v>
      </c>
      <c r="H19" s="79">
        <f t="shared" si="0"/>
        <v>1480</v>
      </c>
    </row>
    <row r="20" spans="1:8">
      <c r="A20" s="2" t="s">
        <v>323</v>
      </c>
      <c r="B20" s="2" t="s">
        <v>322</v>
      </c>
      <c r="C20" s="2" t="s">
        <v>321</v>
      </c>
      <c r="D20" s="76">
        <v>34871</v>
      </c>
      <c r="E20" s="77" t="s">
        <v>106</v>
      </c>
      <c r="F20" s="78">
        <v>40</v>
      </c>
      <c r="G20" s="79">
        <v>30</v>
      </c>
      <c r="H20" s="79">
        <f t="shared" si="0"/>
        <v>1200</v>
      </c>
    </row>
    <row r="21" spans="1:8">
      <c r="A21" s="2" t="s">
        <v>320</v>
      </c>
      <c r="B21" s="2" t="s">
        <v>235</v>
      </c>
      <c r="C21" s="2" t="s">
        <v>319</v>
      </c>
      <c r="D21" s="76">
        <v>34534</v>
      </c>
      <c r="E21" s="77"/>
      <c r="F21" s="78">
        <v>35.5</v>
      </c>
      <c r="G21" s="79">
        <v>27.5</v>
      </c>
      <c r="H21" s="79">
        <f t="shared" si="0"/>
        <v>976.25</v>
      </c>
    </row>
    <row r="22" spans="1:8">
      <c r="A22" s="2" t="s">
        <v>318</v>
      </c>
      <c r="B22" s="2" t="s">
        <v>317</v>
      </c>
      <c r="C22" s="2" t="s">
        <v>133</v>
      </c>
      <c r="D22" s="76">
        <v>33649</v>
      </c>
      <c r="E22" s="77" t="s">
        <v>106</v>
      </c>
      <c r="F22" s="78">
        <v>25</v>
      </c>
      <c r="G22" s="79">
        <v>23.52</v>
      </c>
      <c r="H22" s="79">
        <f t="shared" si="0"/>
        <v>588</v>
      </c>
    </row>
    <row r="23" spans="1:8">
      <c r="A23" s="2" t="s">
        <v>316</v>
      </c>
      <c r="B23" s="2" t="s">
        <v>315</v>
      </c>
      <c r="C23" s="2" t="s">
        <v>314</v>
      </c>
      <c r="D23" s="76">
        <v>33634</v>
      </c>
      <c r="E23" s="77" t="s">
        <v>155</v>
      </c>
      <c r="F23" s="78">
        <v>40</v>
      </c>
      <c r="G23" s="79">
        <v>23.75</v>
      </c>
      <c r="H23" s="79">
        <f t="shared" si="0"/>
        <v>950</v>
      </c>
    </row>
    <row r="24" spans="1:8">
      <c r="A24" s="2" t="s">
        <v>313</v>
      </c>
      <c r="B24" s="2" t="s">
        <v>312</v>
      </c>
      <c r="C24" s="2" t="s">
        <v>311</v>
      </c>
      <c r="D24" s="76">
        <v>32573</v>
      </c>
      <c r="E24" s="77" t="s">
        <v>110</v>
      </c>
      <c r="F24" s="78">
        <v>40</v>
      </c>
      <c r="G24" s="79">
        <v>60</v>
      </c>
      <c r="H24" s="79">
        <f t="shared" si="0"/>
        <v>2400</v>
      </c>
    </row>
    <row r="25" spans="1:8">
      <c r="A25" s="2" t="s">
        <v>310</v>
      </c>
      <c r="B25" s="2" t="s">
        <v>309</v>
      </c>
      <c r="C25" s="2" t="s">
        <v>308</v>
      </c>
      <c r="D25" s="76">
        <v>33700</v>
      </c>
      <c r="E25" s="77"/>
      <c r="F25" s="78">
        <v>40</v>
      </c>
      <c r="G25" s="79">
        <v>52</v>
      </c>
      <c r="H25" s="79">
        <f t="shared" si="0"/>
        <v>2080</v>
      </c>
    </row>
    <row r="26" spans="1:8">
      <c r="A26" s="2" t="s">
        <v>307</v>
      </c>
      <c r="B26" s="2" t="s">
        <v>306</v>
      </c>
      <c r="C26" s="2" t="s">
        <v>179</v>
      </c>
      <c r="D26" s="76">
        <v>35747</v>
      </c>
      <c r="E26" s="77" t="s">
        <v>125</v>
      </c>
      <c r="F26" s="78">
        <v>40</v>
      </c>
      <c r="G26" s="79">
        <v>30.5</v>
      </c>
      <c r="H26" s="79">
        <f t="shared" si="0"/>
        <v>1220</v>
      </c>
    </row>
    <row r="27" spans="1:8">
      <c r="A27" s="2" t="s">
        <v>305</v>
      </c>
      <c r="B27" s="2" t="s">
        <v>304</v>
      </c>
      <c r="C27" s="2" t="s">
        <v>303</v>
      </c>
      <c r="D27" s="76">
        <v>36374</v>
      </c>
      <c r="E27" s="77" t="s">
        <v>125</v>
      </c>
      <c r="F27" s="78">
        <v>32</v>
      </c>
      <c r="G27" s="79">
        <v>20.5</v>
      </c>
      <c r="H27" s="79">
        <f t="shared" si="0"/>
        <v>656</v>
      </c>
    </row>
    <row r="28" spans="1:8">
      <c r="A28" s="2" t="s">
        <v>302</v>
      </c>
      <c r="B28" s="2" t="s">
        <v>301</v>
      </c>
      <c r="C28" s="2" t="s">
        <v>300</v>
      </c>
      <c r="D28" s="76">
        <v>34279</v>
      </c>
      <c r="E28" s="77" t="s">
        <v>155</v>
      </c>
      <c r="F28" s="78">
        <v>40</v>
      </c>
      <c r="G28" s="79">
        <v>34.5</v>
      </c>
      <c r="H28" s="79">
        <f t="shared" si="0"/>
        <v>1380</v>
      </c>
    </row>
    <row r="29" spans="1:8">
      <c r="A29" s="2" t="s">
        <v>299</v>
      </c>
      <c r="B29" s="2" t="s">
        <v>298</v>
      </c>
      <c r="C29" s="2" t="s">
        <v>297</v>
      </c>
      <c r="D29" s="76">
        <v>33497</v>
      </c>
      <c r="E29" s="77" t="s">
        <v>125</v>
      </c>
      <c r="F29" s="78">
        <v>40</v>
      </c>
      <c r="G29" s="79">
        <v>45</v>
      </c>
      <c r="H29" s="79">
        <f t="shared" si="0"/>
        <v>1800</v>
      </c>
    </row>
  </sheetData>
  <protectedRanges>
    <protectedRange password="CF7A" sqref="F2:F29" name="Range1"/>
  </protectedRange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dimension ref="A1:H30"/>
  <sheetViews>
    <sheetView topLeftCell="F1" zoomScale="120" zoomScaleNormal="120" workbookViewId="0">
      <selection activeCell="I5" sqref="I5"/>
    </sheetView>
  </sheetViews>
  <sheetFormatPr defaultRowHeight="15"/>
  <cols>
    <col min="4" max="4" width="10.5546875" customWidth="1"/>
    <col min="7" max="7" width="11.44140625" customWidth="1"/>
    <col min="8" max="8" width="12.88671875" customWidth="1"/>
  </cols>
  <sheetData>
    <row r="1" spans="1:8" ht="18.600000000000001" customHeight="1">
      <c r="A1" s="74" t="s">
        <v>377</v>
      </c>
      <c r="B1" s="274" t="s">
        <v>376</v>
      </c>
      <c r="C1" s="274" t="s">
        <v>375</v>
      </c>
      <c r="D1" s="274" t="s">
        <v>374</v>
      </c>
      <c r="E1" s="274" t="s">
        <v>373</v>
      </c>
      <c r="F1" s="274" t="s">
        <v>372</v>
      </c>
      <c r="G1" s="275" t="s">
        <v>371</v>
      </c>
      <c r="H1" s="275" t="s">
        <v>370</v>
      </c>
    </row>
    <row r="2" spans="1:8">
      <c r="A2" s="2" t="s">
        <v>296</v>
      </c>
      <c r="B2" s="2" t="s">
        <v>295</v>
      </c>
      <c r="C2" s="2" t="s">
        <v>294</v>
      </c>
      <c r="D2" s="76">
        <v>33831</v>
      </c>
      <c r="E2" s="77" t="s">
        <v>155</v>
      </c>
      <c r="F2" s="78">
        <v>32</v>
      </c>
      <c r="G2" s="79">
        <v>20.5</v>
      </c>
      <c r="H2" s="79">
        <f t="shared" ref="H2:H30" si="0">F2*G2</f>
        <v>656</v>
      </c>
    </row>
    <row r="3" spans="1:8">
      <c r="A3" s="2" t="s">
        <v>293</v>
      </c>
      <c r="B3" s="2" t="s">
        <v>292</v>
      </c>
      <c r="C3" s="2" t="s">
        <v>291</v>
      </c>
      <c r="D3" s="76">
        <v>33837</v>
      </c>
      <c r="E3" s="77" t="s">
        <v>155</v>
      </c>
      <c r="F3" s="78">
        <v>40</v>
      </c>
      <c r="G3" s="79">
        <v>36.5</v>
      </c>
      <c r="H3" s="79">
        <f t="shared" si="0"/>
        <v>1460</v>
      </c>
    </row>
    <row r="4" spans="1:8">
      <c r="A4" s="2" t="s">
        <v>290</v>
      </c>
      <c r="B4" s="2" t="s">
        <v>289</v>
      </c>
      <c r="C4" s="2" t="s">
        <v>288</v>
      </c>
      <c r="D4" s="76">
        <v>35775</v>
      </c>
      <c r="E4" s="77" t="s">
        <v>110</v>
      </c>
      <c r="F4" s="78">
        <v>25</v>
      </c>
      <c r="G4" s="79">
        <v>23.52</v>
      </c>
      <c r="H4" s="79">
        <f t="shared" si="0"/>
        <v>588</v>
      </c>
    </row>
    <row r="5" spans="1:8">
      <c r="A5" s="2" t="s">
        <v>287</v>
      </c>
      <c r="B5" s="2" t="s">
        <v>286</v>
      </c>
      <c r="C5" s="2" t="s">
        <v>184</v>
      </c>
      <c r="D5" s="76">
        <v>36194</v>
      </c>
      <c r="E5" s="77"/>
      <c r="F5" s="78">
        <v>35</v>
      </c>
      <c r="G5" s="79">
        <v>27.1</v>
      </c>
      <c r="H5" s="79">
        <f t="shared" si="0"/>
        <v>948.5</v>
      </c>
    </row>
    <row r="6" spans="1:8">
      <c r="A6" s="2" t="s">
        <v>285</v>
      </c>
      <c r="B6" s="2" t="s">
        <v>284</v>
      </c>
      <c r="C6" s="2" t="s">
        <v>283</v>
      </c>
      <c r="D6" s="76">
        <v>36017</v>
      </c>
      <c r="E6" s="77" t="s">
        <v>106</v>
      </c>
      <c r="F6" s="78">
        <v>35</v>
      </c>
      <c r="G6" s="79">
        <v>50</v>
      </c>
      <c r="H6" s="79">
        <f t="shared" si="0"/>
        <v>1750</v>
      </c>
    </row>
    <row r="7" spans="1:8">
      <c r="A7" s="2" t="s">
        <v>282</v>
      </c>
      <c r="B7" s="2" t="s">
        <v>281</v>
      </c>
      <c r="C7" s="2" t="s">
        <v>133</v>
      </c>
      <c r="D7" s="76">
        <v>35372</v>
      </c>
      <c r="E7" s="77" t="s">
        <v>121</v>
      </c>
      <c r="F7" s="78">
        <v>40</v>
      </c>
      <c r="G7" s="79">
        <v>34.5</v>
      </c>
      <c r="H7" s="79">
        <f t="shared" si="0"/>
        <v>1380</v>
      </c>
    </row>
    <row r="8" spans="1:8">
      <c r="A8" s="2" t="s">
        <v>280</v>
      </c>
      <c r="B8" s="2" t="s">
        <v>274</v>
      </c>
      <c r="C8" s="2" t="s">
        <v>279</v>
      </c>
      <c r="D8" s="76">
        <v>35026</v>
      </c>
      <c r="E8" s="77" t="s">
        <v>121</v>
      </c>
      <c r="F8" s="78">
        <v>35.5</v>
      </c>
      <c r="G8" s="79">
        <v>55</v>
      </c>
      <c r="H8" s="79">
        <f t="shared" si="0"/>
        <v>1952.5</v>
      </c>
    </row>
    <row r="9" spans="1:8">
      <c r="A9" s="2" t="s">
        <v>278</v>
      </c>
      <c r="B9" s="2" t="s">
        <v>277</v>
      </c>
      <c r="C9" s="2" t="s">
        <v>276</v>
      </c>
      <c r="D9" s="76">
        <v>34483</v>
      </c>
      <c r="E9" s="77"/>
      <c r="F9" s="78">
        <v>40</v>
      </c>
      <c r="G9" s="79">
        <v>23.75</v>
      </c>
      <c r="H9" s="79">
        <f t="shared" si="0"/>
        <v>950</v>
      </c>
    </row>
    <row r="10" spans="1:8">
      <c r="A10" s="2" t="s">
        <v>275</v>
      </c>
      <c r="B10" s="2" t="s">
        <v>274</v>
      </c>
      <c r="C10" s="2" t="s">
        <v>273</v>
      </c>
      <c r="D10" s="76">
        <v>34949</v>
      </c>
      <c r="E10" s="77" t="s">
        <v>155</v>
      </c>
      <c r="F10" s="78">
        <v>29.5</v>
      </c>
      <c r="G10" s="79">
        <v>21.5</v>
      </c>
      <c r="H10" s="79">
        <f t="shared" si="0"/>
        <v>634.25</v>
      </c>
    </row>
    <row r="11" spans="1:8">
      <c r="A11" s="2" t="s">
        <v>272</v>
      </c>
      <c r="B11" s="2" t="s">
        <v>271</v>
      </c>
      <c r="C11" s="2" t="s">
        <v>270</v>
      </c>
      <c r="D11" s="76">
        <v>33404</v>
      </c>
      <c r="E11" s="77" t="s">
        <v>121</v>
      </c>
      <c r="F11" s="78">
        <v>38</v>
      </c>
      <c r="G11" s="79">
        <v>30.5</v>
      </c>
      <c r="H11" s="79">
        <f t="shared" si="0"/>
        <v>1159</v>
      </c>
    </row>
    <row r="12" spans="1:8">
      <c r="A12" s="2" t="s">
        <v>269</v>
      </c>
      <c r="B12" s="2" t="s">
        <v>268</v>
      </c>
      <c r="C12" s="2" t="s">
        <v>267</v>
      </c>
      <c r="D12" s="76">
        <v>35655</v>
      </c>
      <c r="E12" s="77" t="s">
        <v>129</v>
      </c>
      <c r="F12" s="78">
        <v>40</v>
      </c>
      <c r="G12" s="79">
        <v>37</v>
      </c>
      <c r="H12" s="79">
        <f t="shared" si="0"/>
        <v>1480</v>
      </c>
    </row>
    <row r="13" spans="1:8">
      <c r="A13" s="2" t="s">
        <v>266</v>
      </c>
      <c r="B13" s="2" t="s">
        <v>116</v>
      </c>
      <c r="C13" s="2" t="s">
        <v>265</v>
      </c>
      <c r="D13" s="76">
        <v>35005</v>
      </c>
      <c r="E13" s="77"/>
      <c r="F13" s="78">
        <v>38</v>
      </c>
      <c r="G13" s="79">
        <v>30.5</v>
      </c>
      <c r="H13" s="79">
        <f t="shared" si="0"/>
        <v>1159</v>
      </c>
    </row>
    <row r="14" spans="1:8">
      <c r="A14" s="2" t="s">
        <v>264</v>
      </c>
      <c r="B14" s="2" t="s">
        <v>263</v>
      </c>
      <c r="C14" s="2" t="s">
        <v>262</v>
      </c>
      <c r="D14" s="76">
        <v>34471</v>
      </c>
      <c r="E14" s="77" t="s">
        <v>114</v>
      </c>
      <c r="F14" s="78">
        <v>40</v>
      </c>
      <c r="G14" s="79">
        <v>23.22</v>
      </c>
      <c r="H14" s="79">
        <f t="shared" si="0"/>
        <v>928.8</v>
      </c>
    </row>
    <row r="15" spans="1:8">
      <c r="A15" s="2" t="s">
        <v>261</v>
      </c>
      <c r="B15" s="2" t="s">
        <v>217</v>
      </c>
      <c r="C15" s="2" t="s">
        <v>260</v>
      </c>
      <c r="D15" s="76">
        <v>32883</v>
      </c>
      <c r="E15" s="77"/>
      <c r="F15" s="78">
        <v>40</v>
      </c>
      <c r="G15" s="79">
        <v>45</v>
      </c>
      <c r="H15" s="79">
        <f t="shared" si="0"/>
        <v>1800</v>
      </c>
    </row>
    <row r="16" spans="1:8">
      <c r="A16" s="2" t="s">
        <v>259</v>
      </c>
      <c r="B16" s="2" t="s">
        <v>203</v>
      </c>
      <c r="C16" s="2" t="s">
        <v>258</v>
      </c>
      <c r="D16" s="76">
        <v>34414</v>
      </c>
      <c r="E16" s="77" t="s">
        <v>129</v>
      </c>
      <c r="F16" s="78">
        <v>35</v>
      </c>
      <c r="G16" s="79">
        <v>39</v>
      </c>
      <c r="H16" s="79">
        <f t="shared" si="0"/>
        <v>1365</v>
      </c>
    </row>
    <row r="17" spans="1:8">
      <c r="A17" s="2" t="s">
        <v>257</v>
      </c>
      <c r="B17" s="2" t="s">
        <v>256</v>
      </c>
      <c r="C17" s="2" t="s">
        <v>255</v>
      </c>
      <c r="D17" s="76">
        <v>34671</v>
      </c>
      <c r="E17" s="77" t="s">
        <v>114</v>
      </c>
      <c r="F17" s="78">
        <v>15.5</v>
      </c>
      <c r="G17" s="79">
        <v>21.5</v>
      </c>
      <c r="H17" s="79">
        <f t="shared" si="0"/>
        <v>333.25</v>
      </c>
    </row>
    <row r="18" spans="1:8">
      <c r="A18" s="2" t="s">
        <v>254</v>
      </c>
      <c r="B18" s="2" t="s">
        <v>253</v>
      </c>
      <c r="C18" s="2" t="s">
        <v>252</v>
      </c>
      <c r="D18" s="76">
        <v>33883</v>
      </c>
      <c r="E18" s="77" t="s">
        <v>155</v>
      </c>
      <c r="F18" s="78">
        <v>40</v>
      </c>
      <c r="G18" s="79">
        <v>37</v>
      </c>
      <c r="H18" s="79">
        <f t="shared" si="0"/>
        <v>1480</v>
      </c>
    </row>
    <row r="19" spans="1:8">
      <c r="A19" s="2" t="s">
        <v>251</v>
      </c>
      <c r="B19" s="2" t="s">
        <v>250</v>
      </c>
      <c r="C19" s="2" t="s">
        <v>249</v>
      </c>
      <c r="D19" s="76">
        <v>35427</v>
      </c>
      <c r="E19" s="77" t="s">
        <v>125</v>
      </c>
      <c r="F19" s="78">
        <v>32</v>
      </c>
      <c r="G19" s="79">
        <v>20.5</v>
      </c>
      <c r="H19" s="79">
        <f t="shared" si="0"/>
        <v>656</v>
      </c>
    </row>
    <row r="20" spans="1:8">
      <c r="A20" s="2" t="s">
        <v>248</v>
      </c>
      <c r="B20" s="2" t="s">
        <v>247</v>
      </c>
      <c r="C20" s="2" t="s">
        <v>246</v>
      </c>
      <c r="D20" s="76">
        <v>34428</v>
      </c>
      <c r="E20" s="77" t="s">
        <v>106</v>
      </c>
      <c r="F20" s="78">
        <v>25</v>
      </c>
      <c r="G20" s="79">
        <v>23.52</v>
      </c>
      <c r="H20" s="79">
        <f t="shared" si="0"/>
        <v>588</v>
      </c>
    </row>
    <row r="21" spans="1:8">
      <c r="A21" s="2" t="s">
        <v>245</v>
      </c>
      <c r="B21" s="2" t="s">
        <v>244</v>
      </c>
      <c r="C21" s="2" t="s">
        <v>243</v>
      </c>
      <c r="D21" s="76">
        <v>34843</v>
      </c>
      <c r="E21" s="77" t="s">
        <v>110</v>
      </c>
      <c r="F21" s="78">
        <v>38</v>
      </c>
      <c r="G21" s="79">
        <v>55</v>
      </c>
      <c r="H21" s="79">
        <f t="shared" si="0"/>
        <v>2090</v>
      </c>
    </row>
    <row r="22" spans="1:8">
      <c r="A22" s="2" t="s">
        <v>242</v>
      </c>
      <c r="B22" s="2" t="s">
        <v>241</v>
      </c>
      <c r="C22" s="2" t="s">
        <v>240</v>
      </c>
      <c r="D22" s="76">
        <v>35034</v>
      </c>
      <c r="E22" s="77" t="s">
        <v>125</v>
      </c>
      <c r="F22" s="78">
        <v>35.5</v>
      </c>
      <c r="G22" s="79">
        <v>27.5</v>
      </c>
      <c r="H22" s="79">
        <f t="shared" si="0"/>
        <v>976.25</v>
      </c>
    </row>
    <row r="23" spans="1:8">
      <c r="A23" s="2" t="s">
        <v>239</v>
      </c>
      <c r="B23" s="2" t="s">
        <v>238</v>
      </c>
      <c r="C23" s="2" t="s">
        <v>237</v>
      </c>
      <c r="D23" s="76">
        <v>34610</v>
      </c>
      <c r="E23" s="77" t="s">
        <v>110</v>
      </c>
      <c r="F23" s="78">
        <v>40</v>
      </c>
      <c r="G23" s="79">
        <v>36.5</v>
      </c>
      <c r="H23" s="79">
        <f t="shared" si="0"/>
        <v>1460</v>
      </c>
    </row>
    <row r="24" spans="1:8">
      <c r="A24" s="2" t="s">
        <v>236</v>
      </c>
      <c r="B24" s="2" t="s">
        <v>235</v>
      </c>
      <c r="C24" s="2" t="s">
        <v>234</v>
      </c>
      <c r="D24" s="76">
        <v>33704</v>
      </c>
      <c r="E24" s="77"/>
      <c r="F24" s="78">
        <v>38</v>
      </c>
      <c r="G24" s="79">
        <v>30.5</v>
      </c>
      <c r="H24" s="79">
        <f t="shared" si="0"/>
        <v>1159</v>
      </c>
    </row>
    <row r="25" spans="1:8">
      <c r="A25" s="2" t="s">
        <v>233</v>
      </c>
      <c r="B25" s="2" t="s">
        <v>232</v>
      </c>
      <c r="C25" s="2" t="s">
        <v>231</v>
      </c>
      <c r="D25" s="76">
        <v>34998</v>
      </c>
      <c r="E25" s="77" t="s">
        <v>106</v>
      </c>
      <c r="F25" s="78">
        <v>40</v>
      </c>
      <c r="G25" s="79">
        <v>36.5</v>
      </c>
      <c r="H25" s="79">
        <f t="shared" si="0"/>
        <v>1460</v>
      </c>
    </row>
    <row r="26" spans="1:8">
      <c r="A26" s="2" t="s">
        <v>230</v>
      </c>
      <c r="B26" s="2" t="s">
        <v>229</v>
      </c>
      <c r="C26" s="2" t="s">
        <v>228</v>
      </c>
      <c r="D26" s="76">
        <v>34347</v>
      </c>
      <c r="E26" s="77" t="s">
        <v>106</v>
      </c>
      <c r="F26" s="78">
        <v>35</v>
      </c>
      <c r="G26" s="79">
        <v>39</v>
      </c>
      <c r="H26" s="79">
        <f t="shared" si="0"/>
        <v>1365</v>
      </c>
    </row>
    <row r="27" spans="1:8">
      <c r="A27" s="2" t="s">
        <v>227</v>
      </c>
      <c r="B27" s="2" t="s">
        <v>226</v>
      </c>
      <c r="C27" s="2" t="s">
        <v>225</v>
      </c>
      <c r="D27" s="76">
        <v>34615</v>
      </c>
      <c r="E27" s="77"/>
      <c r="F27" s="78">
        <v>40</v>
      </c>
      <c r="G27" s="79">
        <v>36.5</v>
      </c>
      <c r="H27" s="79">
        <f t="shared" si="0"/>
        <v>1460</v>
      </c>
    </row>
    <row r="28" spans="1:8">
      <c r="A28" s="2" t="s">
        <v>224</v>
      </c>
      <c r="B28" s="2" t="s">
        <v>223</v>
      </c>
      <c r="C28" s="2" t="s">
        <v>222</v>
      </c>
      <c r="D28" s="76">
        <v>35221</v>
      </c>
      <c r="E28" s="77"/>
      <c r="F28" s="78">
        <v>25</v>
      </c>
      <c r="G28" s="79">
        <v>23.52</v>
      </c>
      <c r="H28" s="79">
        <f t="shared" si="0"/>
        <v>588</v>
      </c>
    </row>
    <row r="29" spans="1:8">
      <c r="A29" s="2" t="s">
        <v>221</v>
      </c>
      <c r="B29" s="2" t="s">
        <v>220</v>
      </c>
      <c r="C29" s="2" t="s">
        <v>219</v>
      </c>
      <c r="D29" s="76">
        <v>36181</v>
      </c>
      <c r="E29" s="77" t="s">
        <v>125</v>
      </c>
      <c r="F29" s="78">
        <v>40</v>
      </c>
      <c r="G29" s="79">
        <v>36.5</v>
      </c>
      <c r="H29" s="79">
        <f t="shared" si="0"/>
        <v>1460</v>
      </c>
    </row>
    <row r="30" spans="1:8">
      <c r="A30" s="1" t="s">
        <v>218</v>
      </c>
      <c r="B30" s="1" t="s">
        <v>217</v>
      </c>
      <c r="C30" s="1" t="s">
        <v>216</v>
      </c>
      <c r="D30" s="13">
        <v>32732</v>
      </c>
      <c r="E30" s="12" t="s">
        <v>110</v>
      </c>
      <c r="F30" s="11">
        <v>38</v>
      </c>
      <c r="G30" s="10">
        <v>30.5</v>
      </c>
      <c r="H30" s="10">
        <f t="shared" si="0"/>
        <v>1159</v>
      </c>
    </row>
  </sheetData>
  <protectedRanges>
    <protectedRange password="CF7A" sqref="F2:F30" name="Range1"/>
  </protectedRange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dimension ref="A1:H38"/>
  <sheetViews>
    <sheetView topLeftCell="F16" zoomScale="120" zoomScaleNormal="120" workbookViewId="0">
      <selection activeCell="I5" sqref="I5"/>
    </sheetView>
  </sheetViews>
  <sheetFormatPr defaultRowHeight="15"/>
  <cols>
    <col min="4" max="4" width="10.33203125" customWidth="1"/>
    <col min="7" max="7" width="12.44140625" customWidth="1"/>
    <col min="8" max="8" width="12.88671875" customWidth="1"/>
  </cols>
  <sheetData>
    <row r="1" spans="1:8" ht="19.149999999999999" customHeight="1">
      <c r="A1" s="74" t="s">
        <v>377</v>
      </c>
      <c r="B1" s="274" t="s">
        <v>376</v>
      </c>
      <c r="C1" s="274" t="s">
        <v>375</v>
      </c>
      <c r="D1" s="274" t="s">
        <v>374</v>
      </c>
      <c r="E1" s="274" t="s">
        <v>373</v>
      </c>
      <c r="F1" s="274" t="s">
        <v>372</v>
      </c>
      <c r="G1" s="275" t="s">
        <v>371</v>
      </c>
      <c r="H1" s="275" t="s">
        <v>370</v>
      </c>
    </row>
    <row r="2" spans="1:8">
      <c r="A2" s="2" t="s">
        <v>215</v>
      </c>
      <c r="B2" s="2" t="s">
        <v>214</v>
      </c>
      <c r="C2" s="2" t="s">
        <v>213</v>
      </c>
      <c r="D2" s="76">
        <v>35755</v>
      </c>
      <c r="E2" s="77" t="s">
        <v>114</v>
      </c>
      <c r="F2" s="78">
        <v>40</v>
      </c>
      <c r="G2" s="79">
        <v>27.6</v>
      </c>
      <c r="H2" s="79">
        <f t="shared" ref="H2:H38" si="0">F2*G2</f>
        <v>1104</v>
      </c>
    </row>
    <row r="3" spans="1:8">
      <c r="A3" s="2" t="s">
        <v>212</v>
      </c>
      <c r="B3" s="2" t="s">
        <v>211</v>
      </c>
      <c r="C3" s="2" t="s">
        <v>184</v>
      </c>
      <c r="D3" s="76">
        <v>34709</v>
      </c>
      <c r="E3" s="77" t="s">
        <v>129</v>
      </c>
      <c r="F3" s="78">
        <v>42</v>
      </c>
      <c r="G3" s="79">
        <v>45</v>
      </c>
      <c r="H3" s="79">
        <f t="shared" si="0"/>
        <v>1890</v>
      </c>
    </row>
    <row r="4" spans="1:8">
      <c r="A4" s="2" t="s">
        <v>210</v>
      </c>
      <c r="B4" s="2" t="s">
        <v>209</v>
      </c>
      <c r="C4" s="2" t="s">
        <v>208</v>
      </c>
      <c r="D4" s="76">
        <v>34500</v>
      </c>
      <c r="E4" s="77" t="s">
        <v>114</v>
      </c>
      <c r="F4" s="78">
        <v>40</v>
      </c>
      <c r="G4" s="79">
        <v>23.75</v>
      </c>
      <c r="H4" s="79">
        <f t="shared" si="0"/>
        <v>950</v>
      </c>
    </row>
    <row r="5" spans="1:8">
      <c r="A5" s="2" t="s">
        <v>207</v>
      </c>
      <c r="B5" s="2" t="s">
        <v>206</v>
      </c>
      <c r="C5" s="2" t="s">
        <v>205</v>
      </c>
      <c r="D5" s="76">
        <v>34846</v>
      </c>
      <c r="E5" s="77" t="s">
        <v>106</v>
      </c>
      <c r="F5" s="78">
        <v>25</v>
      </c>
      <c r="G5" s="79">
        <v>23.52</v>
      </c>
      <c r="H5" s="79">
        <f t="shared" si="0"/>
        <v>588</v>
      </c>
    </row>
    <row r="6" spans="1:8">
      <c r="A6" s="2" t="s">
        <v>204</v>
      </c>
      <c r="B6" s="2" t="s">
        <v>203</v>
      </c>
      <c r="C6" s="2" t="s">
        <v>202</v>
      </c>
      <c r="D6" s="76">
        <v>35545</v>
      </c>
      <c r="E6" s="77"/>
      <c r="F6" s="78">
        <v>15.5</v>
      </c>
      <c r="G6" s="79">
        <v>21.5</v>
      </c>
      <c r="H6" s="79">
        <f t="shared" si="0"/>
        <v>333.25</v>
      </c>
    </row>
    <row r="7" spans="1:8">
      <c r="A7" s="2" t="s">
        <v>201</v>
      </c>
      <c r="B7" s="2" t="s">
        <v>200</v>
      </c>
      <c r="C7" s="2" t="s">
        <v>199</v>
      </c>
      <c r="D7" s="76">
        <v>33059</v>
      </c>
      <c r="E7" s="77" t="s">
        <v>114</v>
      </c>
      <c r="F7" s="78">
        <v>40</v>
      </c>
      <c r="G7" s="79">
        <v>30.5</v>
      </c>
      <c r="H7" s="79">
        <f t="shared" si="0"/>
        <v>1220</v>
      </c>
    </row>
    <row r="8" spans="1:8">
      <c r="A8" s="2" t="s">
        <v>198</v>
      </c>
      <c r="B8" s="2" t="s">
        <v>197</v>
      </c>
      <c r="C8" s="2" t="s">
        <v>196</v>
      </c>
      <c r="D8" s="76">
        <v>35390</v>
      </c>
      <c r="E8" s="77" t="s">
        <v>110</v>
      </c>
      <c r="F8" s="78">
        <v>35</v>
      </c>
      <c r="G8" s="79">
        <v>27.1</v>
      </c>
      <c r="H8" s="79">
        <f t="shared" si="0"/>
        <v>948.5</v>
      </c>
    </row>
    <row r="9" spans="1:8">
      <c r="A9" s="2" t="s">
        <v>195</v>
      </c>
      <c r="B9" s="2" t="s">
        <v>194</v>
      </c>
      <c r="C9" s="2" t="s">
        <v>193</v>
      </c>
      <c r="D9" s="76">
        <v>34364</v>
      </c>
      <c r="E9" s="77" t="s">
        <v>114</v>
      </c>
      <c r="F9" s="78">
        <v>35</v>
      </c>
      <c r="G9" s="79">
        <v>39</v>
      </c>
      <c r="H9" s="79">
        <f t="shared" si="0"/>
        <v>1365</v>
      </c>
    </row>
    <row r="10" spans="1:8">
      <c r="A10" s="2" t="s">
        <v>192</v>
      </c>
      <c r="B10" s="2" t="s">
        <v>191</v>
      </c>
      <c r="C10" s="2" t="s">
        <v>190</v>
      </c>
      <c r="D10" s="76">
        <v>33688</v>
      </c>
      <c r="E10" s="77" t="s">
        <v>121</v>
      </c>
      <c r="F10" s="78">
        <v>35.5</v>
      </c>
      <c r="G10" s="79">
        <v>28.3</v>
      </c>
      <c r="H10" s="79">
        <f t="shared" si="0"/>
        <v>1004.65</v>
      </c>
    </row>
    <row r="11" spans="1:8">
      <c r="A11" s="2" t="s">
        <v>189</v>
      </c>
      <c r="B11" s="2" t="s">
        <v>188</v>
      </c>
      <c r="C11" s="2" t="s">
        <v>187</v>
      </c>
      <c r="D11" s="76">
        <v>35038</v>
      </c>
      <c r="E11" s="77"/>
      <c r="F11" s="78">
        <v>29.5</v>
      </c>
      <c r="G11" s="79">
        <v>21.5</v>
      </c>
      <c r="H11" s="79">
        <f t="shared" si="0"/>
        <v>634.25</v>
      </c>
    </row>
    <row r="12" spans="1:8">
      <c r="A12" s="2" t="s">
        <v>186</v>
      </c>
      <c r="B12" s="2" t="s">
        <v>185</v>
      </c>
      <c r="C12" s="2" t="s">
        <v>184</v>
      </c>
      <c r="D12" s="76">
        <v>35715</v>
      </c>
      <c r="E12" s="77" t="s">
        <v>114</v>
      </c>
      <c r="F12" s="78">
        <v>40</v>
      </c>
      <c r="G12" s="79">
        <v>35</v>
      </c>
      <c r="H12" s="79">
        <f t="shared" si="0"/>
        <v>1400</v>
      </c>
    </row>
    <row r="13" spans="1:8">
      <c r="A13" s="2" t="s">
        <v>183</v>
      </c>
      <c r="B13" s="2" t="s">
        <v>182</v>
      </c>
      <c r="C13" s="2" t="s">
        <v>181</v>
      </c>
      <c r="D13" s="76">
        <v>36231</v>
      </c>
      <c r="E13" s="77" t="s">
        <v>114</v>
      </c>
      <c r="F13" s="78">
        <v>35</v>
      </c>
      <c r="G13" s="79">
        <v>27.1</v>
      </c>
      <c r="H13" s="79">
        <f t="shared" si="0"/>
        <v>948.5</v>
      </c>
    </row>
    <row r="14" spans="1:8">
      <c r="A14" s="2" t="s">
        <v>180</v>
      </c>
      <c r="B14" s="2" t="s">
        <v>179</v>
      </c>
      <c r="C14" s="2" t="s">
        <v>133</v>
      </c>
      <c r="D14" s="76">
        <v>35759</v>
      </c>
      <c r="E14" s="77" t="s">
        <v>106</v>
      </c>
      <c r="F14" s="78">
        <v>42</v>
      </c>
      <c r="G14" s="79">
        <v>39</v>
      </c>
      <c r="H14" s="79">
        <f t="shared" si="0"/>
        <v>1638</v>
      </c>
    </row>
    <row r="15" spans="1:8">
      <c r="A15" s="2" t="s">
        <v>178</v>
      </c>
      <c r="B15" s="2" t="s">
        <v>177</v>
      </c>
      <c r="C15" s="2" t="s">
        <v>176</v>
      </c>
      <c r="D15" s="76">
        <v>36312</v>
      </c>
      <c r="E15" s="77" t="s">
        <v>106</v>
      </c>
      <c r="F15" s="78">
        <v>29.5</v>
      </c>
      <c r="G15" s="79">
        <v>28.3</v>
      </c>
      <c r="H15" s="79">
        <f t="shared" si="0"/>
        <v>834.85</v>
      </c>
    </row>
    <row r="16" spans="1:8">
      <c r="A16" s="2" t="s">
        <v>175</v>
      </c>
      <c r="B16" s="2" t="s">
        <v>174</v>
      </c>
      <c r="C16" s="2" t="s">
        <v>173</v>
      </c>
      <c r="D16" s="76">
        <v>34609</v>
      </c>
      <c r="E16" s="77" t="s">
        <v>114</v>
      </c>
      <c r="F16" s="78">
        <v>40</v>
      </c>
      <c r="G16" s="79">
        <v>21.5</v>
      </c>
      <c r="H16" s="79">
        <f t="shared" si="0"/>
        <v>860</v>
      </c>
    </row>
    <row r="17" spans="1:8">
      <c r="A17" s="2" t="s">
        <v>172</v>
      </c>
      <c r="B17" s="2" t="s">
        <v>171</v>
      </c>
      <c r="C17" s="2" t="s">
        <v>170</v>
      </c>
      <c r="D17" s="76">
        <v>33646</v>
      </c>
      <c r="E17" s="77" t="s">
        <v>114</v>
      </c>
      <c r="F17" s="78">
        <v>40</v>
      </c>
      <c r="G17" s="79">
        <v>22.22</v>
      </c>
      <c r="H17" s="79">
        <f t="shared" si="0"/>
        <v>888.8</v>
      </c>
    </row>
    <row r="18" spans="1:8">
      <c r="A18" s="2" t="s">
        <v>169</v>
      </c>
      <c r="B18" s="2" t="s">
        <v>168</v>
      </c>
      <c r="C18" s="2" t="s">
        <v>107</v>
      </c>
      <c r="D18" s="76">
        <v>32919</v>
      </c>
      <c r="E18" s="77" t="s">
        <v>110</v>
      </c>
      <c r="F18" s="78">
        <v>40</v>
      </c>
      <c r="G18" s="79">
        <v>27.1</v>
      </c>
      <c r="H18" s="79">
        <f t="shared" si="0"/>
        <v>1084</v>
      </c>
    </row>
    <row r="19" spans="1:8">
      <c r="A19" s="2" t="s">
        <v>167</v>
      </c>
      <c r="B19" s="2" t="s">
        <v>166</v>
      </c>
      <c r="C19" s="2" t="s">
        <v>165</v>
      </c>
      <c r="D19" s="76">
        <v>33831</v>
      </c>
      <c r="E19" s="77" t="s">
        <v>121</v>
      </c>
      <c r="F19" s="78">
        <v>29.5</v>
      </c>
      <c r="G19" s="79">
        <v>31.75</v>
      </c>
      <c r="H19" s="79">
        <f t="shared" si="0"/>
        <v>936.625</v>
      </c>
    </row>
    <row r="20" spans="1:8">
      <c r="A20" s="2" t="s">
        <v>164</v>
      </c>
      <c r="B20" s="2" t="s">
        <v>163</v>
      </c>
      <c r="C20" s="2" t="s">
        <v>162</v>
      </c>
      <c r="D20" s="76">
        <v>35728</v>
      </c>
      <c r="E20" s="77" t="s">
        <v>110</v>
      </c>
      <c r="F20" s="78">
        <v>40</v>
      </c>
      <c r="G20" s="79">
        <v>21.5</v>
      </c>
      <c r="H20" s="79">
        <f t="shared" si="0"/>
        <v>860</v>
      </c>
    </row>
    <row r="21" spans="1:8">
      <c r="A21" s="2" t="s">
        <v>161</v>
      </c>
      <c r="B21" s="2" t="s">
        <v>160</v>
      </c>
      <c r="C21" s="2" t="s">
        <v>159</v>
      </c>
      <c r="D21" s="76">
        <v>34679</v>
      </c>
      <c r="E21" s="77" t="s">
        <v>110</v>
      </c>
      <c r="F21" s="78">
        <v>40</v>
      </c>
      <c r="G21" s="79">
        <v>34.5</v>
      </c>
      <c r="H21" s="79">
        <f t="shared" si="0"/>
        <v>1380</v>
      </c>
    </row>
    <row r="22" spans="1:8">
      <c r="A22" s="2" t="s">
        <v>158</v>
      </c>
      <c r="B22" s="2" t="s">
        <v>157</v>
      </c>
      <c r="C22" s="2" t="s">
        <v>156</v>
      </c>
      <c r="D22" s="76">
        <v>36221</v>
      </c>
      <c r="E22" s="77" t="s">
        <v>155</v>
      </c>
      <c r="F22" s="78">
        <v>40</v>
      </c>
      <c r="G22" s="79">
        <v>48</v>
      </c>
      <c r="H22" s="79">
        <f t="shared" si="0"/>
        <v>1920</v>
      </c>
    </row>
    <row r="23" spans="1:8">
      <c r="A23" s="2" t="s">
        <v>154</v>
      </c>
      <c r="B23" s="2" t="s">
        <v>153</v>
      </c>
      <c r="C23" s="2" t="s">
        <v>152</v>
      </c>
      <c r="D23" s="76">
        <v>34171</v>
      </c>
      <c r="E23" s="77"/>
      <c r="F23" s="78">
        <v>40</v>
      </c>
      <c r="G23" s="79">
        <v>30</v>
      </c>
      <c r="H23" s="79">
        <f t="shared" si="0"/>
        <v>1200</v>
      </c>
    </row>
    <row r="24" spans="1:8">
      <c r="A24" s="2" t="s">
        <v>151</v>
      </c>
      <c r="B24" s="2"/>
      <c r="C24" s="2"/>
      <c r="D24" s="76"/>
      <c r="E24" s="77" t="s">
        <v>125</v>
      </c>
      <c r="F24" s="78">
        <v>40</v>
      </c>
      <c r="G24" s="79">
        <v>21.5</v>
      </c>
      <c r="H24" s="79">
        <f t="shared" si="0"/>
        <v>860</v>
      </c>
    </row>
    <row r="25" spans="1:8">
      <c r="A25" s="2" t="s">
        <v>150</v>
      </c>
      <c r="B25" s="2" t="s">
        <v>149</v>
      </c>
      <c r="C25" s="2" t="s">
        <v>148</v>
      </c>
      <c r="D25" s="76">
        <v>33908</v>
      </c>
      <c r="E25" s="77" t="s">
        <v>129</v>
      </c>
      <c r="F25" s="78">
        <v>40</v>
      </c>
      <c r="G25" s="79">
        <v>30.5</v>
      </c>
      <c r="H25" s="79">
        <f t="shared" si="0"/>
        <v>1220</v>
      </c>
    </row>
    <row r="26" spans="1:8">
      <c r="A26" s="2" t="s">
        <v>147</v>
      </c>
      <c r="B26" s="2" t="s">
        <v>146</v>
      </c>
      <c r="C26" s="2" t="s">
        <v>145</v>
      </c>
      <c r="D26" s="76">
        <v>35451</v>
      </c>
      <c r="E26" s="77"/>
      <c r="F26" s="78">
        <v>29.5</v>
      </c>
      <c r="G26" s="79">
        <v>30</v>
      </c>
      <c r="H26" s="79">
        <f t="shared" si="0"/>
        <v>885</v>
      </c>
    </row>
    <row r="27" spans="1:8">
      <c r="A27" s="2" t="s">
        <v>144</v>
      </c>
      <c r="B27" s="2" t="s">
        <v>143</v>
      </c>
      <c r="C27" s="2" t="s">
        <v>142</v>
      </c>
      <c r="D27" s="76">
        <v>32568</v>
      </c>
      <c r="E27" s="77" t="s">
        <v>129</v>
      </c>
      <c r="F27" s="78">
        <v>15.5</v>
      </c>
      <c r="G27" s="79">
        <v>27.6</v>
      </c>
      <c r="H27" s="79">
        <f t="shared" si="0"/>
        <v>427.8</v>
      </c>
    </row>
    <row r="28" spans="1:8">
      <c r="A28" s="2" t="s">
        <v>141</v>
      </c>
      <c r="B28" s="2" t="s">
        <v>140</v>
      </c>
      <c r="C28" s="2" t="s">
        <v>139</v>
      </c>
      <c r="D28" s="76">
        <v>34673</v>
      </c>
      <c r="E28" s="77" t="s">
        <v>110</v>
      </c>
      <c r="F28" s="78">
        <v>32</v>
      </c>
      <c r="G28" s="79">
        <v>23.75</v>
      </c>
      <c r="H28" s="79">
        <f t="shared" si="0"/>
        <v>760</v>
      </c>
    </row>
    <row r="29" spans="1:8">
      <c r="A29" s="2" t="s">
        <v>138</v>
      </c>
      <c r="B29" s="2" t="s">
        <v>137</v>
      </c>
      <c r="C29" s="2" t="s">
        <v>136</v>
      </c>
      <c r="D29" s="76">
        <v>35916</v>
      </c>
      <c r="E29" s="77"/>
      <c r="F29" s="78">
        <v>42</v>
      </c>
      <c r="G29" s="79">
        <v>30.5</v>
      </c>
      <c r="H29" s="79">
        <f t="shared" si="0"/>
        <v>1281</v>
      </c>
    </row>
    <row r="30" spans="1:8">
      <c r="A30" s="1" t="s">
        <v>135</v>
      </c>
      <c r="B30" s="1" t="s">
        <v>134</v>
      </c>
      <c r="C30" s="1" t="s">
        <v>133</v>
      </c>
      <c r="D30" s="13">
        <v>34610</v>
      </c>
      <c r="E30" s="12" t="s">
        <v>129</v>
      </c>
      <c r="F30" s="11">
        <v>40</v>
      </c>
      <c r="G30" s="10">
        <v>30</v>
      </c>
      <c r="H30" s="10">
        <f t="shared" si="0"/>
        <v>1200</v>
      </c>
    </row>
    <row r="31" spans="1:8">
      <c r="A31" s="1" t="s">
        <v>132</v>
      </c>
      <c r="B31" s="1" t="s">
        <v>131</v>
      </c>
      <c r="C31" s="1" t="s">
        <v>130</v>
      </c>
      <c r="D31" s="13">
        <v>35739</v>
      </c>
      <c r="E31" s="12" t="s">
        <v>129</v>
      </c>
      <c r="F31" s="11">
        <v>35</v>
      </c>
      <c r="G31" s="10">
        <v>60</v>
      </c>
      <c r="H31" s="10">
        <f t="shared" si="0"/>
        <v>2100</v>
      </c>
    </row>
    <row r="32" spans="1:8">
      <c r="A32" s="1" t="s">
        <v>128</v>
      </c>
      <c r="B32" s="1" t="s">
        <v>127</v>
      </c>
      <c r="C32" s="1" t="s">
        <v>126</v>
      </c>
      <c r="D32" s="13">
        <v>31884</v>
      </c>
      <c r="E32" s="12" t="s">
        <v>125</v>
      </c>
      <c r="F32" s="11">
        <v>40</v>
      </c>
      <c r="G32" s="10">
        <v>21.5</v>
      </c>
      <c r="H32" s="10">
        <f t="shared" si="0"/>
        <v>860</v>
      </c>
    </row>
    <row r="33" spans="1:8">
      <c r="A33" s="1" t="s">
        <v>124</v>
      </c>
      <c r="B33" s="1" t="s">
        <v>123</v>
      </c>
      <c r="C33" s="1" t="s">
        <v>122</v>
      </c>
      <c r="D33" s="13">
        <v>34879</v>
      </c>
      <c r="E33" s="12" t="s">
        <v>121</v>
      </c>
      <c r="F33" s="11">
        <v>40</v>
      </c>
      <c r="G33" s="10">
        <v>21.5</v>
      </c>
      <c r="H33" s="10">
        <f t="shared" si="0"/>
        <v>860</v>
      </c>
    </row>
    <row r="34" spans="1:8">
      <c r="A34" s="1" t="s">
        <v>120</v>
      </c>
      <c r="B34" s="1" t="s">
        <v>119</v>
      </c>
      <c r="C34" s="1" t="s">
        <v>118</v>
      </c>
      <c r="D34" s="13">
        <v>34758</v>
      </c>
      <c r="E34" s="12" t="s">
        <v>106</v>
      </c>
      <c r="F34" s="11">
        <v>15.5</v>
      </c>
      <c r="G34" s="10">
        <v>20.5</v>
      </c>
      <c r="H34" s="10">
        <f t="shared" si="0"/>
        <v>317.75</v>
      </c>
    </row>
    <row r="35" spans="1:8">
      <c r="A35" s="1" t="s">
        <v>117</v>
      </c>
      <c r="B35" s="1" t="s">
        <v>116</v>
      </c>
      <c r="C35" s="1" t="s">
        <v>115</v>
      </c>
      <c r="D35" s="13">
        <v>35055</v>
      </c>
      <c r="E35" s="12" t="s">
        <v>114</v>
      </c>
      <c r="F35" s="11">
        <v>40</v>
      </c>
      <c r="G35" s="10">
        <v>31.75</v>
      </c>
      <c r="H35" s="10">
        <f t="shared" si="0"/>
        <v>1270</v>
      </c>
    </row>
    <row r="36" spans="1:8">
      <c r="A36" s="1" t="s">
        <v>113</v>
      </c>
      <c r="B36" s="1" t="s">
        <v>112</v>
      </c>
      <c r="C36" s="1" t="s">
        <v>111</v>
      </c>
      <c r="D36" s="13">
        <v>33568</v>
      </c>
      <c r="E36" s="12" t="s">
        <v>110</v>
      </c>
      <c r="F36" s="11">
        <v>40</v>
      </c>
      <c r="G36" s="10">
        <v>22.22</v>
      </c>
      <c r="H36" s="10">
        <f t="shared" si="0"/>
        <v>888.8</v>
      </c>
    </row>
    <row r="37" spans="1:8">
      <c r="A37" s="1" t="s">
        <v>109</v>
      </c>
      <c r="B37" s="1" t="s">
        <v>108</v>
      </c>
      <c r="C37" s="1" t="s">
        <v>107</v>
      </c>
      <c r="D37" s="13">
        <v>36256</v>
      </c>
      <c r="E37" s="12" t="s">
        <v>106</v>
      </c>
      <c r="F37" s="11">
        <v>40</v>
      </c>
      <c r="G37" s="10">
        <v>47</v>
      </c>
      <c r="H37" s="10">
        <f t="shared" si="0"/>
        <v>1880</v>
      </c>
    </row>
    <row r="38" spans="1:8">
      <c r="A38" s="1" t="s">
        <v>105</v>
      </c>
      <c r="B38" s="1" t="s">
        <v>104</v>
      </c>
      <c r="C38" s="1" t="s">
        <v>103</v>
      </c>
      <c r="D38" s="13">
        <v>36037</v>
      </c>
      <c r="E38" s="12"/>
      <c r="F38" s="11">
        <v>15.5</v>
      </c>
      <c r="G38" s="10">
        <v>21.5</v>
      </c>
      <c r="H38" s="10">
        <f t="shared" si="0"/>
        <v>333.25</v>
      </c>
    </row>
  </sheetData>
  <protectedRanges>
    <protectedRange password="CF7A" sqref="F2:F38" name="Range1"/>
  </protectedRange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9"/>
  <dimension ref="A1:T27"/>
  <sheetViews>
    <sheetView zoomScaleNormal="100" workbookViewId="0">
      <selection activeCell="J10" sqref="J10"/>
    </sheetView>
  </sheetViews>
  <sheetFormatPr defaultRowHeight="15"/>
  <cols>
    <col min="4" max="4" width="12.21875" customWidth="1"/>
    <col min="7" max="7" width="13.21875" customWidth="1"/>
    <col min="8" max="8" width="13.33203125" customWidth="1"/>
  </cols>
  <sheetData>
    <row r="1" spans="1:8" ht="19.149999999999999" customHeight="1">
      <c r="A1" s="74" t="s">
        <v>377</v>
      </c>
      <c r="B1" s="74" t="s">
        <v>376</v>
      </c>
      <c r="C1" s="74" t="s">
        <v>375</v>
      </c>
      <c r="D1" s="74" t="s">
        <v>374</v>
      </c>
      <c r="E1" s="74" t="s">
        <v>373</v>
      </c>
      <c r="F1" s="74" t="s">
        <v>372</v>
      </c>
      <c r="G1" s="75" t="s">
        <v>371</v>
      </c>
      <c r="H1" s="75" t="s">
        <v>370</v>
      </c>
    </row>
    <row r="2" spans="1:8">
      <c r="A2" s="2" t="s">
        <v>369</v>
      </c>
      <c r="B2" s="65"/>
      <c r="C2" s="65"/>
      <c r="D2" s="65"/>
      <c r="E2" s="65"/>
      <c r="F2" s="65"/>
      <c r="G2" s="65"/>
      <c r="H2" s="65"/>
    </row>
    <row r="3" spans="1:8">
      <c r="A3" s="2" t="s">
        <v>363</v>
      </c>
      <c r="B3" s="65"/>
      <c r="C3" s="65"/>
      <c r="D3" s="65"/>
      <c r="E3" s="65"/>
      <c r="F3" s="65"/>
      <c r="G3" s="65"/>
      <c r="H3" s="65"/>
    </row>
    <row r="4" spans="1:8">
      <c r="A4" s="2" t="s">
        <v>356</v>
      </c>
      <c r="B4" s="65"/>
      <c r="C4" s="65"/>
      <c r="D4" s="65"/>
      <c r="E4" s="65"/>
      <c r="F4" s="65"/>
      <c r="G4" s="65"/>
      <c r="H4" s="65"/>
    </row>
    <row r="5" spans="1:8">
      <c r="A5" s="2" t="s">
        <v>351</v>
      </c>
      <c r="B5" s="65"/>
      <c r="C5" s="65"/>
      <c r="D5" s="65"/>
      <c r="E5" s="65"/>
      <c r="F5" s="65"/>
      <c r="G5" s="65"/>
      <c r="H5" s="65"/>
    </row>
    <row r="6" spans="1:8">
      <c r="A6" s="2" t="s">
        <v>345</v>
      </c>
      <c r="B6" s="65"/>
      <c r="C6" s="65"/>
      <c r="D6" s="65"/>
      <c r="E6" s="65"/>
      <c r="F6" s="65"/>
      <c r="G6" s="65"/>
      <c r="H6" s="65"/>
    </row>
    <row r="7" spans="1:8">
      <c r="A7" s="2" t="s">
        <v>339</v>
      </c>
      <c r="B7" s="65"/>
      <c r="C7" s="65"/>
      <c r="D7" s="65"/>
      <c r="E7" s="65"/>
      <c r="F7" s="65"/>
      <c r="G7" s="65"/>
      <c r="H7" s="65"/>
    </row>
    <row r="8" spans="1:8">
      <c r="A8" s="2" t="s">
        <v>329</v>
      </c>
      <c r="B8" s="65"/>
      <c r="C8" s="65"/>
      <c r="D8" s="65"/>
      <c r="E8" s="65"/>
      <c r="F8" s="65"/>
      <c r="G8" s="65"/>
      <c r="H8" s="65"/>
    </row>
    <row r="9" spans="1:8">
      <c r="A9" s="2" t="s">
        <v>320</v>
      </c>
      <c r="B9" s="65"/>
      <c r="C9" s="65"/>
      <c r="D9" s="65"/>
      <c r="E9" s="65"/>
      <c r="F9" s="65"/>
      <c r="G9" s="65"/>
      <c r="H9" s="65"/>
    </row>
    <row r="10" spans="1:8">
      <c r="A10" s="2" t="s">
        <v>316</v>
      </c>
      <c r="B10" s="65"/>
      <c r="C10" s="65"/>
      <c r="D10" s="65"/>
      <c r="E10" s="65"/>
      <c r="F10" s="65"/>
      <c r="G10" s="65"/>
      <c r="H10" s="65"/>
    </row>
    <row r="11" spans="1:8">
      <c r="A11" s="2" t="s">
        <v>285</v>
      </c>
      <c r="B11" s="65"/>
      <c r="C11" s="65"/>
      <c r="D11" s="65"/>
      <c r="E11" s="65"/>
      <c r="F11" s="65"/>
      <c r="G11" s="65"/>
      <c r="H11" s="65"/>
    </row>
    <row r="12" spans="1:8">
      <c r="A12" s="2" t="s">
        <v>278</v>
      </c>
      <c r="B12" s="65"/>
      <c r="C12" s="65"/>
      <c r="D12" s="65"/>
      <c r="E12" s="65"/>
      <c r="F12" s="65"/>
      <c r="G12" s="65"/>
      <c r="H12" s="65"/>
    </row>
    <row r="13" spans="1:8">
      <c r="A13" s="2" t="s">
        <v>269</v>
      </c>
      <c r="B13" s="65"/>
      <c r="C13" s="65"/>
      <c r="D13" s="65"/>
      <c r="E13" s="65"/>
      <c r="F13" s="65"/>
      <c r="G13" s="65"/>
      <c r="H13" s="65"/>
    </row>
    <row r="14" spans="1:8">
      <c r="A14" s="2" t="s">
        <v>261</v>
      </c>
      <c r="B14" s="65"/>
      <c r="C14" s="65"/>
      <c r="D14" s="65"/>
      <c r="E14" s="65"/>
      <c r="F14" s="65"/>
      <c r="G14" s="65"/>
      <c r="H14" s="65"/>
    </row>
    <row r="15" spans="1:8">
      <c r="A15" s="2" t="s">
        <v>251</v>
      </c>
      <c r="B15" s="65"/>
      <c r="C15" s="65"/>
      <c r="D15" s="65"/>
      <c r="E15" s="65"/>
      <c r="F15" s="65"/>
      <c r="G15" s="65"/>
      <c r="H15" s="65"/>
    </row>
    <row r="16" spans="1:8">
      <c r="A16" s="2" t="s">
        <v>245</v>
      </c>
      <c r="B16" s="65"/>
      <c r="C16" s="65"/>
      <c r="D16" s="65"/>
      <c r="E16" s="65"/>
      <c r="F16" s="65"/>
      <c r="G16" s="65"/>
      <c r="H16" s="65"/>
    </row>
    <row r="17" spans="1:20">
      <c r="A17" s="2" t="s">
        <v>239</v>
      </c>
      <c r="B17" s="65"/>
      <c r="C17" s="65"/>
      <c r="D17" s="65"/>
      <c r="E17" s="65"/>
      <c r="F17" s="65"/>
      <c r="G17" s="65"/>
      <c r="H17" s="65"/>
    </row>
    <row r="18" spans="1:20">
      <c r="A18" s="2" t="s">
        <v>236</v>
      </c>
      <c r="B18" s="65"/>
      <c r="C18" s="65"/>
      <c r="D18" s="65"/>
      <c r="E18" s="65"/>
      <c r="F18" s="65"/>
      <c r="G18" s="65"/>
      <c r="H18" s="65"/>
    </row>
    <row r="19" spans="1:20">
      <c r="A19" s="2" t="s">
        <v>210</v>
      </c>
      <c r="B19" s="65"/>
      <c r="C19" s="65"/>
      <c r="D19" s="65"/>
      <c r="E19" s="65"/>
      <c r="F19" s="65"/>
      <c r="G19" s="65"/>
      <c r="H19" s="65"/>
    </row>
    <row r="20" spans="1:20">
      <c r="A20" s="2" t="s">
        <v>201</v>
      </c>
      <c r="B20" s="65"/>
      <c r="C20" s="65"/>
      <c r="D20" s="65"/>
      <c r="E20" s="65"/>
      <c r="F20" s="65"/>
      <c r="G20" s="65"/>
      <c r="H20" s="65"/>
    </row>
    <row r="21" spans="1:20">
      <c r="A21" s="2" t="s">
        <v>189</v>
      </c>
      <c r="B21" s="65"/>
      <c r="C21" s="65"/>
      <c r="D21" s="65"/>
      <c r="E21" s="65"/>
      <c r="F21" s="65"/>
      <c r="G21" s="65"/>
      <c r="H21" s="65"/>
    </row>
    <row r="22" spans="1:20">
      <c r="A22" s="2" t="s">
        <v>175</v>
      </c>
      <c r="B22" s="65"/>
      <c r="C22" s="65"/>
      <c r="D22" s="65"/>
      <c r="E22" s="65"/>
      <c r="F22" s="65"/>
      <c r="G22" s="65"/>
      <c r="H22" s="65"/>
    </row>
    <row r="23" spans="1:20">
      <c r="A23" s="2" t="s">
        <v>167</v>
      </c>
      <c r="B23" s="65"/>
      <c r="C23" s="65"/>
      <c r="D23" s="65"/>
      <c r="E23" s="65"/>
      <c r="F23" s="65"/>
      <c r="G23" s="65"/>
      <c r="H23" s="65"/>
    </row>
    <row r="24" spans="1:20">
      <c r="A24" s="2" t="s">
        <v>161</v>
      </c>
      <c r="B24" s="65"/>
      <c r="C24" s="65"/>
      <c r="D24" s="65"/>
      <c r="E24" s="65"/>
      <c r="F24" s="65"/>
      <c r="G24" s="65"/>
      <c r="H24" s="65"/>
    </row>
    <row r="25" spans="1:20">
      <c r="A25" s="2" t="s">
        <v>154</v>
      </c>
      <c r="B25" s="65"/>
      <c r="C25" s="65"/>
      <c r="D25" s="65"/>
      <c r="E25" s="65"/>
      <c r="F25" s="65"/>
      <c r="G25" s="65"/>
      <c r="H25" s="65"/>
    </row>
    <row r="27" spans="1:20">
      <c r="A27" s="299" t="s">
        <v>786</v>
      </c>
      <c r="B27" s="299"/>
      <c r="C27" s="299"/>
      <c r="D27" s="299"/>
      <c r="E27" s="299"/>
      <c r="F27" s="299"/>
      <c r="G27" s="299"/>
      <c r="H27" s="299"/>
      <c r="I27" s="299"/>
      <c r="J27" s="299"/>
      <c r="K27" s="299"/>
      <c r="L27" s="299"/>
      <c r="M27" s="299"/>
      <c r="N27" s="299"/>
      <c r="O27" s="299"/>
      <c r="P27" s="299"/>
      <c r="Q27" s="299"/>
      <c r="R27" s="299"/>
      <c r="S27" s="299"/>
      <c r="T27" s="299"/>
    </row>
  </sheetData>
  <mergeCells count="1">
    <mergeCell ref="A27:T27"/>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BEC6E-6CB1-4ACD-937C-E34EEB9AB938}">
  <sheetPr codeName="Sheet30"/>
  <dimension ref="A1:J11"/>
  <sheetViews>
    <sheetView zoomScale="85" zoomScaleNormal="85" workbookViewId="0">
      <selection activeCell="D26" sqref="D26"/>
    </sheetView>
  </sheetViews>
  <sheetFormatPr defaultRowHeight="15"/>
  <cols>
    <col min="1" max="1" width="13.6640625" style="34" customWidth="1"/>
    <col min="4" max="4" width="14.77734375" customWidth="1"/>
  </cols>
  <sheetData>
    <row r="1" spans="1:10">
      <c r="A1" s="30" t="s">
        <v>681</v>
      </c>
    </row>
    <row r="2" spans="1:10" ht="15.75">
      <c r="A2" s="31"/>
      <c r="D2" s="128" t="s">
        <v>683</v>
      </c>
      <c r="E2" s="29" t="b">
        <f>ISBLANK(A2)</f>
        <v>1</v>
      </c>
      <c r="F2" s="245" t="s">
        <v>787</v>
      </c>
      <c r="G2" s="246"/>
      <c r="H2" s="246"/>
      <c r="I2" s="246"/>
    </row>
    <row r="3" spans="1:10" ht="15.75">
      <c r="A3" s="31" t="e">
        <f>1/0</f>
        <v>#DIV/0!</v>
      </c>
      <c r="D3" s="128" t="s">
        <v>684</v>
      </c>
      <c r="E3" s="29" t="b">
        <f>ISERROR(A3)</f>
        <v>1</v>
      </c>
      <c r="F3" s="301" t="s">
        <v>788</v>
      </c>
      <c r="G3" s="299"/>
      <c r="H3" s="299"/>
      <c r="I3" s="299"/>
      <c r="J3" s="299"/>
    </row>
    <row r="4" spans="1:10" ht="15.75">
      <c r="A4" s="31" t="e">
        <f>#N/A</f>
        <v>#N/A</v>
      </c>
      <c r="D4" s="128" t="s">
        <v>685</v>
      </c>
      <c r="E4" s="29" t="b">
        <f>ISNA(A4)</f>
        <v>1</v>
      </c>
      <c r="F4" s="301" t="s">
        <v>789</v>
      </c>
      <c r="G4" s="299"/>
      <c r="H4" s="299"/>
    </row>
    <row r="5" spans="1:10" ht="15.75">
      <c r="A5" s="31">
        <v>20</v>
      </c>
      <c r="D5" s="128" t="s">
        <v>686</v>
      </c>
      <c r="E5" s="29" t="b">
        <f>ISNUMBER(A5)</f>
        <v>1</v>
      </c>
      <c r="F5" s="301" t="s">
        <v>790</v>
      </c>
      <c r="G5" s="299"/>
      <c r="H5" s="299"/>
      <c r="I5" s="299"/>
      <c r="J5" s="299"/>
    </row>
    <row r="6" spans="1:10" ht="15.75">
      <c r="A6" s="31">
        <v>3</v>
      </c>
      <c r="D6" s="128" t="s">
        <v>687</v>
      </c>
      <c r="E6" s="29" t="b">
        <f>ISEVEN(A5)</f>
        <v>1</v>
      </c>
      <c r="F6" s="301" t="s">
        <v>791</v>
      </c>
      <c r="G6" s="299"/>
      <c r="H6" s="299"/>
    </row>
    <row r="7" spans="1:10" ht="15.75">
      <c r="A7" s="31" t="s">
        <v>682</v>
      </c>
      <c r="D7" s="128" t="s">
        <v>688</v>
      </c>
      <c r="E7" s="29" t="b">
        <f>ISODD(A6)</f>
        <v>1</v>
      </c>
      <c r="F7" s="301" t="s">
        <v>792</v>
      </c>
      <c r="G7" s="299"/>
      <c r="H7" s="299"/>
    </row>
    <row r="8" spans="1:10" ht="15.75">
      <c r="A8" s="32"/>
      <c r="D8" s="128" t="s">
        <v>689</v>
      </c>
      <c r="E8" s="29" t="b">
        <f>ISTEXT(A7)</f>
        <v>1</v>
      </c>
      <c r="F8" s="301" t="s">
        <v>793</v>
      </c>
      <c r="G8" s="299"/>
      <c r="H8" s="299"/>
      <c r="I8" s="299"/>
    </row>
    <row r="9" spans="1:10">
      <c r="A9" s="32"/>
    </row>
    <row r="10" spans="1:10">
      <c r="A10" s="32"/>
    </row>
    <row r="11" spans="1:10">
      <c r="A11" s="33"/>
    </row>
  </sheetData>
  <mergeCells count="6">
    <mergeCell ref="F8:I8"/>
    <mergeCell ref="F3:J3"/>
    <mergeCell ref="F4:H4"/>
    <mergeCell ref="F5:J5"/>
    <mergeCell ref="F6:H6"/>
    <mergeCell ref="F7:H7"/>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1D6BC-220D-4EC2-A208-3B39CF313DDC}">
  <sheetPr codeName="Sheet21"/>
  <dimension ref="E4:L20"/>
  <sheetViews>
    <sheetView topLeftCell="D1" zoomScaleNormal="100" workbookViewId="0">
      <selection activeCell="K11" sqref="K11"/>
    </sheetView>
  </sheetViews>
  <sheetFormatPr defaultRowHeight="15"/>
  <cols>
    <col min="5" max="5" width="7.6640625" customWidth="1"/>
    <col min="9" max="9" width="10.109375" customWidth="1"/>
  </cols>
  <sheetData>
    <row r="4" spans="5:12" ht="15.75">
      <c r="E4" s="209" t="s">
        <v>766</v>
      </c>
      <c r="F4" s="208" t="s">
        <v>765</v>
      </c>
      <c r="G4" s="208" t="s">
        <v>96</v>
      </c>
      <c r="H4" s="208" t="s">
        <v>97</v>
      </c>
      <c r="I4" s="208" t="s">
        <v>93</v>
      </c>
      <c r="J4" s="208" t="s">
        <v>94</v>
      </c>
      <c r="K4" s="208" t="s">
        <v>95</v>
      </c>
      <c r="L4" s="62" t="s">
        <v>383</v>
      </c>
    </row>
    <row r="5" spans="5:12" ht="15.75">
      <c r="E5" s="208">
        <f>RANK($L5,$L$5:$L$9)</f>
        <v>4</v>
      </c>
      <c r="F5" s="63" t="s">
        <v>514</v>
      </c>
      <c r="G5" s="63">
        <v>40</v>
      </c>
      <c r="H5" s="63">
        <v>14</v>
      </c>
      <c r="I5" s="63">
        <v>18</v>
      </c>
      <c r="J5" s="63">
        <v>57</v>
      </c>
      <c r="K5" s="63">
        <v>18</v>
      </c>
      <c r="L5" s="63">
        <f>SUM(G5:K5)</f>
        <v>147</v>
      </c>
    </row>
    <row r="6" spans="5:12" ht="15.75">
      <c r="E6" s="208">
        <f t="shared" ref="E6:E9" si="0">RANK($L6,$L$5:$L$9)</f>
        <v>3</v>
      </c>
      <c r="F6" s="63" t="s">
        <v>513</v>
      </c>
      <c r="G6" s="63">
        <v>36</v>
      </c>
      <c r="H6" s="63">
        <v>17</v>
      </c>
      <c r="I6" s="63">
        <v>29</v>
      </c>
      <c r="J6" s="63">
        <v>26</v>
      </c>
      <c r="K6" s="63">
        <v>59</v>
      </c>
      <c r="L6" s="63">
        <f t="shared" ref="L6:L9" si="1">SUM(G6:K6)</f>
        <v>167</v>
      </c>
    </row>
    <row r="7" spans="5:12" ht="15.75">
      <c r="E7" s="208">
        <f t="shared" si="0"/>
        <v>2</v>
      </c>
      <c r="F7" s="63" t="s">
        <v>512</v>
      </c>
      <c r="G7" s="63">
        <v>27</v>
      </c>
      <c r="H7" s="63">
        <v>84</v>
      </c>
      <c r="I7" s="63">
        <v>23</v>
      </c>
      <c r="J7" s="63">
        <v>19</v>
      </c>
      <c r="K7" s="63">
        <v>29</v>
      </c>
      <c r="L7" s="63">
        <f t="shared" si="1"/>
        <v>182</v>
      </c>
    </row>
    <row r="8" spans="5:12" ht="15.75">
      <c r="E8" s="208">
        <f t="shared" si="0"/>
        <v>5</v>
      </c>
      <c r="F8" s="63" t="s">
        <v>121</v>
      </c>
      <c r="G8" s="63">
        <v>5</v>
      </c>
      <c r="H8" s="63">
        <v>23</v>
      </c>
      <c r="I8" s="63">
        <v>16</v>
      </c>
      <c r="J8" s="63">
        <v>54</v>
      </c>
      <c r="K8" s="63">
        <v>17</v>
      </c>
      <c r="L8" s="63">
        <f t="shared" si="1"/>
        <v>115</v>
      </c>
    </row>
    <row r="9" spans="5:12" ht="15.75">
      <c r="E9" s="208">
        <f t="shared" si="0"/>
        <v>1</v>
      </c>
      <c r="F9" s="63" t="s">
        <v>769</v>
      </c>
      <c r="G9" s="63">
        <v>87</v>
      </c>
      <c r="H9" s="63">
        <v>35</v>
      </c>
      <c r="I9" s="63">
        <v>68</v>
      </c>
      <c r="J9" s="63">
        <v>47</v>
      </c>
      <c r="K9" s="63">
        <v>25</v>
      </c>
      <c r="L9" s="63">
        <f t="shared" si="1"/>
        <v>262</v>
      </c>
    </row>
    <row r="10" spans="5:12" ht="15.75">
      <c r="E10" s="247"/>
      <c r="F10" s="248"/>
      <c r="G10" s="248"/>
      <c r="H10" s="248"/>
      <c r="I10" s="248"/>
      <c r="J10" s="248"/>
      <c r="K10" s="248"/>
      <c r="L10" s="248"/>
    </row>
    <row r="11" spans="5:12" ht="15.75">
      <c r="H11" s="249" t="s">
        <v>794</v>
      </c>
      <c r="I11" s="250" t="s">
        <v>795</v>
      </c>
    </row>
    <row r="12" spans="5:12">
      <c r="H12" s="143">
        <v>0.95095743373529196</v>
      </c>
      <c r="I12" s="143">
        <v>5.2741472180983333</v>
      </c>
    </row>
    <row r="13" spans="5:12">
      <c r="H13" s="143">
        <v>0.27170696083969736</v>
      </c>
      <c r="I13" s="143">
        <v>9.7563712551136614</v>
      </c>
    </row>
    <row r="14" spans="5:12">
      <c r="H14" s="143">
        <v>0.39469182354841315</v>
      </c>
      <c r="I14" s="143">
        <v>8.9805142471086405</v>
      </c>
    </row>
    <row r="15" spans="5:12">
      <c r="H15" s="143">
        <v>0.1047754707820131</v>
      </c>
      <c r="I15" s="143">
        <v>4.3595969820692293</v>
      </c>
    </row>
    <row r="16" spans="5:12">
      <c r="H16" s="143">
        <v>0.81418162664803573</v>
      </c>
      <c r="I16" s="143">
        <v>0.14053706047443493</v>
      </c>
    </row>
    <row r="17" spans="8:9">
      <c r="H17" s="143">
        <v>0.24259056050059336</v>
      </c>
      <c r="I17" s="143">
        <v>0.14539152513520781</v>
      </c>
    </row>
    <row r="18" spans="8:9">
      <c r="H18" s="143">
        <v>0.47171142147668588</v>
      </c>
      <c r="I18" s="143">
        <v>7.3419080409633155</v>
      </c>
    </row>
    <row r="19" spans="8:9">
      <c r="H19" s="143">
        <v>0.71590790622830514</v>
      </c>
      <c r="I19" s="143">
        <v>3.154142507712888</v>
      </c>
    </row>
    <row r="20" spans="8:9">
      <c r="H20" s="143">
        <v>0.23791902438675394</v>
      </c>
      <c r="I20" s="143">
        <v>4.1848721475858426</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53C5E-B783-414F-8E71-729E0F3E0953}">
  <sheetPr codeName="Sheet31"/>
  <dimension ref="A1:J15"/>
  <sheetViews>
    <sheetView topLeftCell="B4" zoomScale="85" zoomScaleNormal="85" workbookViewId="0">
      <selection activeCell="A2" sqref="A2"/>
    </sheetView>
  </sheetViews>
  <sheetFormatPr defaultColWidth="8.77734375" defaultRowHeight="14.25"/>
  <cols>
    <col min="1" max="1" width="10.77734375" style="34" customWidth="1"/>
    <col min="2" max="3" width="11.5546875" style="34" customWidth="1"/>
    <col min="4" max="5" width="8.77734375" style="34"/>
    <col min="6" max="6" width="14.77734375" style="34" customWidth="1"/>
    <col min="7" max="7" width="36.33203125" style="34" customWidth="1"/>
    <col min="8" max="8" width="12.21875" style="34" customWidth="1"/>
    <col min="9" max="9" width="13.33203125" style="34" customWidth="1"/>
    <col min="10" max="16384" width="8.77734375" style="34"/>
  </cols>
  <sheetData>
    <row r="1" spans="1:10" ht="15">
      <c r="A1" s="30" t="s">
        <v>418</v>
      </c>
      <c r="B1" s="24" t="s">
        <v>34</v>
      </c>
      <c r="C1" s="24" t="s">
        <v>496</v>
      </c>
      <c r="F1" s="25" t="s">
        <v>690</v>
      </c>
      <c r="G1" s="35">
        <v>5</v>
      </c>
      <c r="I1"/>
      <c r="J1"/>
    </row>
    <row r="2" spans="1:10" ht="15">
      <c r="A2" s="36" t="s">
        <v>398</v>
      </c>
      <c r="B2" s="210">
        <v>10</v>
      </c>
      <c r="C2" s="210">
        <v>17</v>
      </c>
      <c r="F2" s="25" t="s">
        <v>34</v>
      </c>
      <c r="G2" s="212">
        <f ca="1">OFFSET($A$1,$G$1,1)</f>
        <v>50</v>
      </c>
    </row>
    <row r="3" spans="1:10" ht="15">
      <c r="A3" s="36" t="s">
        <v>397</v>
      </c>
      <c r="B3" s="210">
        <v>20</v>
      </c>
      <c r="C3" s="210">
        <v>33</v>
      </c>
      <c r="F3" s="25" t="s">
        <v>496</v>
      </c>
      <c r="G3" s="212">
        <f ca="1">OFFSET($A$1,$G$1,2)</f>
        <v>33</v>
      </c>
    </row>
    <row r="4" spans="1:10" ht="15">
      <c r="A4" s="36" t="s">
        <v>396</v>
      </c>
      <c r="B4" s="210">
        <v>30</v>
      </c>
      <c r="C4" s="210">
        <v>36</v>
      </c>
      <c r="F4" s="25" t="s">
        <v>383</v>
      </c>
      <c r="G4" s="212">
        <f ca="1">SUM(OFFSET(A1,G1,1,1,2))</f>
        <v>83</v>
      </c>
      <c r="H4" s="34">
        <f ca="1">SUM(G2:G3)</f>
        <v>83</v>
      </c>
    </row>
    <row r="5" spans="1:10" ht="15">
      <c r="A5" s="36" t="s">
        <v>395</v>
      </c>
      <c r="B5" s="210">
        <v>40</v>
      </c>
      <c r="C5" s="210">
        <v>41</v>
      </c>
      <c r="G5"/>
      <c r="H5"/>
    </row>
    <row r="6" spans="1:10" ht="15">
      <c r="A6" s="36" t="s">
        <v>394</v>
      </c>
      <c r="B6" s="210">
        <v>50</v>
      </c>
      <c r="C6" s="210">
        <v>33</v>
      </c>
      <c r="E6" s="37"/>
      <c r="F6" s="33"/>
    </row>
    <row r="7" spans="1:10" ht="15.75">
      <c r="A7" s="36" t="s">
        <v>393</v>
      </c>
      <c r="B7" s="210">
        <v>60</v>
      </c>
      <c r="C7" s="210">
        <v>36</v>
      </c>
      <c r="D7" s="37"/>
      <c r="F7" s="218" t="s">
        <v>418</v>
      </c>
      <c r="G7" s="218" t="s">
        <v>398</v>
      </c>
      <c r="H7" s="218" t="s">
        <v>397</v>
      </c>
      <c r="I7" s="218" t="s">
        <v>396</v>
      </c>
    </row>
    <row r="8" spans="1:10" ht="15">
      <c r="A8" s="36" t="s">
        <v>413</v>
      </c>
      <c r="B8" s="210">
        <v>70</v>
      </c>
      <c r="C8" s="210">
        <v>27</v>
      </c>
      <c r="F8" s="219" t="s">
        <v>34</v>
      </c>
      <c r="G8" s="220">
        <f ca="1">OFFSET($A$1,MATCH(G$7,$A$2:$A$10,0),MATCH($F8,$B$1:$C$1,0))</f>
        <v>10</v>
      </c>
      <c r="H8" s="220">
        <f t="shared" ref="H8:I9" ca="1" si="0">OFFSET($A$1,MATCH(H$7,$A$2:$A$10,0),MATCH($F8,$B$1:$C$1,0))</f>
        <v>20</v>
      </c>
      <c r="I8" s="220">
        <f t="shared" ca="1" si="0"/>
        <v>30</v>
      </c>
    </row>
    <row r="9" spans="1:10" ht="15">
      <c r="A9" s="36" t="s">
        <v>414</v>
      </c>
      <c r="B9" s="210">
        <v>80</v>
      </c>
      <c r="C9" s="210"/>
      <c r="E9"/>
      <c r="F9" s="219" t="s">
        <v>496</v>
      </c>
      <c r="G9" s="220">
        <f t="shared" ref="G9" ca="1" si="1">OFFSET($A$1,MATCH(G$7,$A$2:$A$10,0),MATCH($F9,$B$1:$C$1,0))</f>
        <v>17</v>
      </c>
      <c r="H9" s="220">
        <f t="shared" ca="1" si="0"/>
        <v>33</v>
      </c>
      <c r="I9" s="220">
        <f t="shared" ca="1" si="0"/>
        <v>36</v>
      </c>
    </row>
    <row r="10" spans="1:10" ht="15.75">
      <c r="A10" s="39" t="s">
        <v>691</v>
      </c>
      <c r="B10" s="211">
        <v>90</v>
      </c>
      <c r="C10" s="211"/>
      <c r="E10"/>
      <c r="F10" s="221" t="s">
        <v>383</v>
      </c>
      <c r="G10" s="220">
        <f ca="1">SUM(OFFSET($A$1,MATCH(G$7,$A$2:$A$10,0),MATCH($F8,$B$1:$C$1,0),1,2))</f>
        <v>27</v>
      </c>
      <c r="H10" s="220">
        <f t="shared" ref="H10:I10" ca="1" si="2">SUM(OFFSET($A$1,MATCH(H$7,$A$2:$A$10,0),MATCH($F8,$B$1:$C$1,0),1,2))</f>
        <v>53</v>
      </c>
      <c r="I10" s="220">
        <f t="shared" ca="1" si="2"/>
        <v>66</v>
      </c>
    </row>
    <row r="11" spans="1:10" ht="15">
      <c r="A11" s="33"/>
      <c r="B11" s="38"/>
      <c r="C11" s="38"/>
      <c r="E11"/>
    </row>
    <row r="12" spans="1:10" ht="15">
      <c r="D12" s="37"/>
      <c r="F12"/>
      <c r="G12"/>
    </row>
    <row r="14" spans="1:10">
      <c r="D14" s="37"/>
    </row>
    <row r="15" spans="1:10" s="33" customFormat="1" ht="15"/>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F1:M20"/>
  <sheetViews>
    <sheetView topLeftCell="E1" zoomScale="120" zoomScaleNormal="120" workbookViewId="0">
      <selection activeCell="H14" sqref="H14"/>
    </sheetView>
  </sheetViews>
  <sheetFormatPr defaultColWidth="8.88671875" defaultRowHeight="15"/>
  <cols>
    <col min="1" max="5" width="8.88671875" style="97"/>
    <col min="6" max="6" width="15.44140625" style="97" bestFit="1" customWidth="1"/>
    <col min="7" max="7" width="13.6640625" style="97" customWidth="1"/>
    <col min="8" max="8" width="10.109375" style="97" customWidth="1"/>
    <col min="9" max="16384" width="8.88671875" style="97"/>
  </cols>
  <sheetData>
    <row r="1" spans="6:13" ht="60">
      <c r="F1" s="217" t="s">
        <v>102</v>
      </c>
      <c r="G1" s="217" t="s">
        <v>101</v>
      </c>
      <c r="H1" s="217" t="s">
        <v>100</v>
      </c>
    </row>
    <row r="2" spans="6:13">
      <c r="F2" s="150">
        <v>0</v>
      </c>
      <c r="G2" s="150">
        <v>2650</v>
      </c>
      <c r="H2" s="151">
        <v>0.15</v>
      </c>
    </row>
    <row r="3" spans="6:13">
      <c r="F3" s="150">
        <v>2651</v>
      </c>
      <c r="G3" s="150">
        <v>27300</v>
      </c>
      <c r="H3" s="151">
        <v>0.28000000000000003</v>
      </c>
    </row>
    <row r="4" spans="6:13">
      <c r="F4" s="150">
        <v>27301</v>
      </c>
      <c r="G4" s="150">
        <v>58500</v>
      </c>
      <c r="H4" s="151">
        <v>0.31</v>
      </c>
    </row>
    <row r="5" spans="6:13">
      <c r="F5" s="150">
        <v>58501</v>
      </c>
      <c r="G5" s="150">
        <v>131800</v>
      </c>
      <c r="H5" s="151">
        <v>0.36</v>
      </c>
    </row>
    <row r="6" spans="6:13">
      <c r="F6" s="150">
        <v>131801</v>
      </c>
      <c r="G6" s="150">
        <v>284700</v>
      </c>
      <c r="H6" s="151">
        <v>0.39600000000000002</v>
      </c>
    </row>
    <row r="7" spans="6:13">
      <c r="F7" s="150">
        <v>284701</v>
      </c>
      <c r="G7" s="150"/>
      <c r="H7" s="151">
        <v>0.45250000000000001</v>
      </c>
    </row>
    <row r="8" spans="6:13" ht="15.75" thickBot="1"/>
    <row r="9" spans="6:13" ht="15.75">
      <c r="F9" s="146" t="s">
        <v>99</v>
      </c>
      <c r="G9" s="148">
        <v>56000</v>
      </c>
    </row>
    <row r="10" spans="6:13" ht="16.5" thickBot="1">
      <c r="F10" s="147" t="s">
        <v>98</v>
      </c>
      <c r="G10" s="149">
        <f>VLOOKUP(G9,F1:H7,3,1)</f>
        <v>0.31</v>
      </c>
      <c r="H10" s="302" t="s">
        <v>796</v>
      </c>
      <c r="I10" s="303"/>
      <c r="J10" s="303"/>
      <c r="K10" s="303"/>
      <c r="L10" s="303"/>
      <c r="M10" s="303"/>
    </row>
    <row r="20" spans="6:6">
      <c r="F20" s="97" t="s">
        <v>551</v>
      </c>
    </row>
  </sheetData>
  <customSheetViews>
    <customSheetView guid="{BBE43EB8-AC5B-419E-90E4-72D0C525AF66}">
      <selection activeCell="G10" sqref="G10"/>
      <pageMargins left="0.7" right="0.7" top="0.75" bottom="0.75" header="0.3" footer="0.3"/>
    </customSheetView>
  </customSheetViews>
  <mergeCells count="1">
    <mergeCell ref="H10:M10"/>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59A02-D92C-49A2-9811-FD927BEFEE4F}">
  <sheetPr codeName="Sheet22"/>
  <dimension ref="A1:M18"/>
  <sheetViews>
    <sheetView topLeftCell="G1" zoomScale="130" zoomScaleNormal="130" workbookViewId="0">
      <selection activeCell="I14" sqref="I14"/>
    </sheetView>
  </sheetViews>
  <sheetFormatPr defaultRowHeight="15"/>
  <cols>
    <col min="1" max="1" width="23" customWidth="1"/>
    <col min="2" max="2" width="19.88671875" bestFit="1" customWidth="1"/>
    <col min="3" max="3" width="16" bestFit="1" customWidth="1"/>
    <col min="4" max="4" width="20.33203125" bestFit="1" customWidth="1"/>
    <col min="5" max="5" width="23.5546875" bestFit="1" customWidth="1"/>
    <col min="6" max="6" width="23.88671875" bestFit="1" customWidth="1"/>
    <col min="7" max="7" width="14.109375" bestFit="1" customWidth="1"/>
    <col min="10" max="10" width="10.21875" bestFit="1" customWidth="1"/>
    <col min="11" max="11" width="12.5546875" bestFit="1" customWidth="1"/>
    <col min="12" max="12" width="15.21875" bestFit="1" customWidth="1"/>
  </cols>
  <sheetData>
    <row r="1" spans="1:13" s="59" customFormat="1" ht="15.75">
      <c r="A1" s="213" t="s">
        <v>37</v>
      </c>
      <c r="B1" s="251" t="s">
        <v>801</v>
      </c>
      <c r="C1" s="251" t="s">
        <v>804</v>
      </c>
      <c r="D1" s="251" t="s">
        <v>805</v>
      </c>
      <c r="E1" s="251" t="s">
        <v>803</v>
      </c>
      <c r="F1" s="251" t="s">
        <v>810</v>
      </c>
      <c r="G1" s="251" t="s">
        <v>811</v>
      </c>
      <c r="H1" s="251" t="s">
        <v>812</v>
      </c>
      <c r="I1" s="251" t="s">
        <v>813</v>
      </c>
      <c r="J1" s="251" t="s">
        <v>814</v>
      </c>
      <c r="K1" s="251" t="s">
        <v>820</v>
      </c>
      <c r="L1" s="251" t="s">
        <v>821</v>
      </c>
    </row>
    <row r="2" spans="1:13">
      <c r="A2" s="65" t="s">
        <v>802</v>
      </c>
      <c r="B2" t="str">
        <f>TRIM(A2)</f>
        <v>Rohit shARMA</v>
      </c>
      <c r="C2" t="str">
        <f>LOWER(B2)</f>
        <v>rohit sharma</v>
      </c>
      <c r="D2" t="str">
        <f>UPPER(B2)</f>
        <v>ROHIT SHARMA</v>
      </c>
      <c r="E2" t="str">
        <f>PROPER(D2)</f>
        <v>Rohit Sharma</v>
      </c>
      <c r="F2" t="str">
        <f>LEFT(D2,3)</f>
        <v>ROH</v>
      </c>
      <c r="G2" t="str">
        <f>MID(D2,5,3)</f>
        <v>T S</v>
      </c>
      <c r="H2" t="str">
        <f>RIGHT(D2,3)</f>
        <v>RMA</v>
      </c>
      <c r="I2">
        <f>FIND(" ",A2,5)</f>
        <v>6</v>
      </c>
      <c r="J2">
        <f>LEN(E2)</f>
        <v>12</v>
      </c>
      <c r="K2" t="str">
        <f>LEFT(C2, LEN(C2)-FIND(" ",C2)-1)</f>
        <v>rohit</v>
      </c>
      <c r="L2" t="str">
        <f>SUBSTITUTE(A2," ","")</f>
        <v>RohitshARMA</v>
      </c>
      <c r="M2" t="str">
        <f>LEFT(C2,LEN(C2)-FIND(" ",C2)-1)</f>
        <v>rohit</v>
      </c>
    </row>
    <row r="3" spans="1:13">
      <c r="A3" s="65" t="s">
        <v>797</v>
      </c>
      <c r="B3" t="str">
        <f t="shared" ref="B3:B7" si="0">TRIM(A3)</f>
        <v>K L R A hul</v>
      </c>
      <c r="C3" t="str">
        <f t="shared" ref="C3:C7" si="1">LOWER(B3)</f>
        <v>k l r a hul</v>
      </c>
      <c r="D3" t="str">
        <f t="shared" ref="D3:D7" si="2">UPPER(B3)</f>
        <v>K L R A HUL</v>
      </c>
      <c r="E3" t="str">
        <f t="shared" ref="E3:E7" si="3">PROPER(D3)</f>
        <v>K L R A Hul</v>
      </c>
      <c r="F3" t="str">
        <f t="shared" ref="F3:F6" si="4">LEFT(D3,3)</f>
        <v>K L</v>
      </c>
      <c r="G3" t="str">
        <f t="shared" ref="G3:G6" si="5">MID(D3,5,3)</f>
        <v>R A</v>
      </c>
      <c r="H3" t="str">
        <f t="shared" ref="H3:H6" si="6">RIGHT(D3,3)</f>
        <v>HUL</v>
      </c>
      <c r="I3">
        <f t="shared" ref="I3:I6" si="7">FIND(" ",A3,5)</f>
        <v>5</v>
      </c>
      <c r="J3">
        <f t="shared" ref="J3:J6" si="8">LEN(E3)</f>
        <v>11</v>
      </c>
      <c r="K3" t="str">
        <f t="shared" ref="K3:K6" si="9">LEFT(C3, LEN(C3)-FIND(" ",C3)-1)</f>
        <v xml:space="preserve">k l r a </v>
      </c>
      <c r="L3" t="str">
        <f t="shared" ref="L3:L6" si="10">SUBSTITUTE(A3," ","")</f>
        <v>KLRAhul</v>
      </c>
      <c r="M3" t="str">
        <f t="shared" ref="M3:M6" si="11">LEFT(C3,LEN(C3)-FIND(" ",C3)-1)</f>
        <v xml:space="preserve">k l r a </v>
      </c>
    </row>
    <row r="4" spans="1:13">
      <c r="A4" s="65" t="s">
        <v>798</v>
      </c>
      <c r="B4" t="str">
        <f t="shared" si="0"/>
        <v>virat kohli</v>
      </c>
      <c r="C4" t="str">
        <f t="shared" si="1"/>
        <v>virat kohli</v>
      </c>
      <c r="D4" t="str">
        <f t="shared" si="2"/>
        <v>VIRAT KOHLI</v>
      </c>
      <c r="E4" t="str">
        <f t="shared" si="3"/>
        <v>Virat Kohli</v>
      </c>
      <c r="F4" t="str">
        <f t="shared" si="4"/>
        <v>VIR</v>
      </c>
      <c r="G4" t="str">
        <f t="shared" si="5"/>
        <v>T K</v>
      </c>
      <c r="H4" t="str">
        <f t="shared" si="6"/>
        <v>HLI</v>
      </c>
      <c r="I4">
        <f t="shared" si="7"/>
        <v>5</v>
      </c>
      <c r="J4">
        <f t="shared" si="8"/>
        <v>11</v>
      </c>
      <c r="K4" t="str">
        <f t="shared" si="9"/>
        <v>vira</v>
      </c>
      <c r="L4" t="str">
        <f t="shared" si="10"/>
        <v>viratkohli</v>
      </c>
      <c r="M4" t="str">
        <f t="shared" si="11"/>
        <v>vira</v>
      </c>
    </row>
    <row r="5" spans="1:13">
      <c r="A5" s="65" t="s">
        <v>799</v>
      </c>
      <c r="B5" t="str">
        <f t="shared" si="0"/>
        <v>Surya kumar yadav</v>
      </c>
      <c r="C5" t="str">
        <f t="shared" si="1"/>
        <v>surya kumar yadav</v>
      </c>
      <c r="D5" t="str">
        <f t="shared" si="2"/>
        <v>SURYA KUMAR YADAV</v>
      </c>
      <c r="E5" t="str">
        <f t="shared" si="3"/>
        <v>Surya Kumar Yadav</v>
      </c>
      <c r="F5" t="str">
        <f t="shared" si="4"/>
        <v>SUR</v>
      </c>
      <c r="G5" t="str">
        <f t="shared" si="5"/>
        <v>A K</v>
      </c>
      <c r="H5" t="str">
        <f t="shared" si="6"/>
        <v>DAV</v>
      </c>
      <c r="I5">
        <f t="shared" si="7"/>
        <v>6</v>
      </c>
      <c r="J5">
        <f t="shared" si="8"/>
        <v>17</v>
      </c>
      <c r="K5" t="str">
        <f t="shared" si="9"/>
        <v>surya kuma</v>
      </c>
      <c r="L5" t="str">
        <f t="shared" si="10"/>
        <v>Suryakumaryadav</v>
      </c>
      <c r="M5" t="str">
        <f t="shared" si="11"/>
        <v>surya kuma</v>
      </c>
    </row>
    <row r="6" spans="1:13">
      <c r="A6" s="65" t="s">
        <v>800</v>
      </c>
      <c r="B6" t="str">
        <f t="shared" si="0"/>
        <v>M s D H O N I</v>
      </c>
      <c r="C6" t="str">
        <f t="shared" si="1"/>
        <v>m s d h o n i</v>
      </c>
      <c r="D6" t="str">
        <f t="shared" si="2"/>
        <v>M S D H O N I</v>
      </c>
      <c r="E6" t="str">
        <f>PROPER(D6)</f>
        <v>M S D H O N I</v>
      </c>
      <c r="F6" t="str">
        <f t="shared" si="4"/>
        <v>M S</v>
      </c>
      <c r="G6" t="str">
        <f t="shared" si="5"/>
        <v>D H</v>
      </c>
      <c r="H6" t="str">
        <f t="shared" si="6"/>
        <v>N I</v>
      </c>
      <c r="I6">
        <f t="shared" si="7"/>
        <v>6</v>
      </c>
      <c r="J6">
        <f t="shared" si="8"/>
        <v>13</v>
      </c>
      <c r="K6" t="str">
        <f t="shared" si="9"/>
        <v xml:space="preserve">m s d h o </v>
      </c>
      <c r="L6" t="str">
        <f t="shared" si="10"/>
        <v>MsDHONI</v>
      </c>
      <c r="M6" t="str">
        <f t="shared" si="11"/>
        <v xml:space="preserve">m s d h o </v>
      </c>
    </row>
    <row r="7" spans="1:13">
      <c r="B7" t="str">
        <f t="shared" si="0"/>
        <v/>
      </c>
      <c r="C7" t="str">
        <f t="shared" si="1"/>
        <v/>
      </c>
      <c r="D7" t="str">
        <f t="shared" si="2"/>
        <v/>
      </c>
      <c r="E7" t="str">
        <f t="shared" si="3"/>
        <v/>
      </c>
    </row>
    <row r="8" spans="1:13">
      <c r="B8" t="s">
        <v>809</v>
      </c>
      <c r="C8" t="s">
        <v>806</v>
      </c>
      <c r="D8" t="s">
        <v>807</v>
      </c>
      <c r="E8" t="s">
        <v>808</v>
      </c>
    </row>
    <row r="10" spans="1:13" ht="15.75">
      <c r="E10" t="s">
        <v>815</v>
      </c>
      <c r="F10" t="s">
        <v>816</v>
      </c>
      <c r="J10" s="254" t="s">
        <v>519</v>
      </c>
      <c r="K10" s="254" t="s">
        <v>823</v>
      </c>
    </row>
    <row r="11" spans="1:13">
      <c r="J11" s="255">
        <v>44811</v>
      </c>
      <c r="K11" s="65" t="str">
        <f>TEXT(J11,"dddd")</f>
        <v>Wednesday</v>
      </c>
    </row>
    <row r="12" spans="1:13" ht="15.75">
      <c r="F12" s="251" t="s">
        <v>819</v>
      </c>
      <c r="G12" s="251" t="s">
        <v>817</v>
      </c>
      <c r="J12" s="65"/>
      <c r="K12" s="65" t="str">
        <f>TEXT(J11,"ddd")</f>
        <v>Wed</v>
      </c>
    </row>
    <row r="13" spans="1:13">
      <c r="E13" t="s">
        <v>818</v>
      </c>
      <c r="F13" t="str">
        <f>SUBSTITUTE(E13,"USA","India")</f>
        <v>India is the powerful country.</v>
      </c>
      <c r="G13" t="str">
        <f>CONCATENATE(E10,F10)</f>
        <v>ABDeveliers</v>
      </c>
      <c r="J13" s="65"/>
      <c r="K13" s="65" t="str">
        <f>TEXT(J11,"dd")</f>
        <v>07</v>
      </c>
    </row>
    <row r="14" spans="1:13" ht="15.75">
      <c r="G14" t="str">
        <f>CONCATENATE(E10," ",F10)</f>
        <v>AB Develiers</v>
      </c>
      <c r="I14" s="252" t="s">
        <v>824</v>
      </c>
      <c r="J14" s="65"/>
      <c r="K14" s="65" t="str">
        <f>TEXT(J11,"mmmm")</f>
        <v>September</v>
      </c>
    </row>
    <row r="15" spans="1:13">
      <c r="H15" s="65" t="s">
        <v>822</v>
      </c>
      <c r="I15" s="253"/>
      <c r="J15" s="65"/>
      <c r="K15" s="65" t="str">
        <f>TEXT(J11,"mmm")</f>
        <v>Sep</v>
      </c>
    </row>
    <row r="16" spans="1:13">
      <c r="H16" s="65" t="s">
        <v>822</v>
      </c>
      <c r="I16" s="253" t="b">
        <f>EXACT(H15,H16)</f>
        <v>1</v>
      </c>
      <c r="J16" s="65"/>
      <c r="K16" s="65" t="str">
        <f>TEXT(J11,"MM")</f>
        <v>09</v>
      </c>
    </row>
    <row r="17" spans="10:11">
      <c r="J17" s="65"/>
      <c r="K17" s="65" t="str">
        <f>TEXT(J11,"yyyy")</f>
        <v>2022</v>
      </c>
    </row>
    <row r="18" spans="10:11">
      <c r="J18" s="65"/>
      <c r="K18" s="65" t="str">
        <f>TEXT(J11,"yy")</f>
        <v>22</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dimension ref="A1:L95"/>
  <sheetViews>
    <sheetView zoomScale="120" zoomScaleNormal="120" workbookViewId="0">
      <selection activeCell="J1" sqref="J1"/>
    </sheetView>
  </sheetViews>
  <sheetFormatPr defaultColWidth="8.88671875" defaultRowHeight="15.75"/>
  <cols>
    <col min="1" max="1" width="5.77734375" style="152" bestFit="1" customWidth="1"/>
    <col min="2" max="4" width="8.88671875" style="152"/>
    <col min="5" max="5" width="15.77734375" style="152" customWidth="1"/>
    <col min="6" max="6" width="7.109375" style="152" customWidth="1"/>
    <col min="7" max="7" width="7.33203125" style="152" customWidth="1"/>
    <col min="8" max="8" width="12.77734375" style="152" customWidth="1"/>
    <col min="9" max="9" width="13.21875" style="152" customWidth="1"/>
    <col min="10" max="10" width="14.77734375" style="152" bestFit="1" customWidth="1"/>
    <col min="11" max="16384" width="8.88671875" style="152"/>
  </cols>
  <sheetData>
    <row r="1" spans="1:12">
      <c r="A1" s="204" t="s">
        <v>768</v>
      </c>
      <c r="B1" s="204" t="s">
        <v>377</v>
      </c>
      <c r="C1" s="204" t="s">
        <v>376</v>
      </c>
      <c r="D1" s="204" t="s">
        <v>375</v>
      </c>
      <c r="E1" s="204" t="s">
        <v>374</v>
      </c>
      <c r="F1" s="204" t="s">
        <v>373</v>
      </c>
      <c r="G1" s="204" t="s">
        <v>372</v>
      </c>
      <c r="H1" s="205" t="s">
        <v>371</v>
      </c>
      <c r="I1" s="205" t="s">
        <v>370</v>
      </c>
      <c r="J1" s="205" t="s">
        <v>825</v>
      </c>
    </row>
    <row r="2" spans="1:12">
      <c r="A2" s="124">
        <v>1</v>
      </c>
      <c r="B2" s="124" t="s">
        <v>369</v>
      </c>
      <c r="C2" s="124" t="s">
        <v>368</v>
      </c>
      <c r="D2" s="124" t="s">
        <v>367</v>
      </c>
      <c r="E2" s="125">
        <v>34690</v>
      </c>
      <c r="F2" s="124" t="s">
        <v>110</v>
      </c>
      <c r="G2" s="126">
        <v>35.5</v>
      </c>
      <c r="H2" s="127">
        <v>45</v>
      </c>
      <c r="I2" s="127">
        <f t="shared" ref="I2:I33" si="0">G2*H2</f>
        <v>1597.5</v>
      </c>
      <c r="J2" s="152" t="str">
        <f>CONCATENATE(C2," ",D2)</f>
        <v>Sara Kling</v>
      </c>
      <c r="L2" s="153"/>
    </row>
    <row r="3" spans="1:12">
      <c r="A3" s="124">
        <v>2</v>
      </c>
      <c r="B3" s="124" t="s">
        <v>366</v>
      </c>
      <c r="C3" s="124" t="s">
        <v>365</v>
      </c>
      <c r="D3" s="124" t="s">
        <v>364</v>
      </c>
      <c r="E3" s="125">
        <v>34153</v>
      </c>
      <c r="F3" s="124" t="s">
        <v>121</v>
      </c>
      <c r="G3" s="126">
        <v>35.5</v>
      </c>
      <c r="H3" s="127">
        <v>28.3</v>
      </c>
      <c r="I3" s="127">
        <f t="shared" si="0"/>
        <v>1004.65</v>
      </c>
      <c r="J3" s="152" t="str">
        <f t="shared" ref="J3:J66" si="1">CONCATENATE(C3," ",D3)</f>
        <v>Sean Willis</v>
      </c>
      <c r="L3" s="153"/>
    </row>
    <row r="4" spans="1:12">
      <c r="A4" s="124">
        <v>3</v>
      </c>
      <c r="B4" s="124" t="s">
        <v>363</v>
      </c>
      <c r="C4" s="124" t="s">
        <v>362</v>
      </c>
      <c r="D4" s="124" t="s">
        <v>184</v>
      </c>
      <c r="E4" s="125">
        <v>36000</v>
      </c>
      <c r="F4" s="124" t="s">
        <v>125</v>
      </c>
      <c r="G4" s="126">
        <v>42</v>
      </c>
      <c r="H4" s="127">
        <v>31.75</v>
      </c>
      <c r="I4" s="127">
        <f t="shared" si="0"/>
        <v>1333.5</v>
      </c>
      <c r="J4" s="152" t="str">
        <f t="shared" si="1"/>
        <v>Colleen Abel</v>
      </c>
      <c r="L4" s="153"/>
    </row>
    <row r="5" spans="1:12">
      <c r="A5" s="124">
        <v>4</v>
      </c>
      <c r="B5" s="124" t="s">
        <v>361</v>
      </c>
      <c r="C5" s="124" t="s">
        <v>360</v>
      </c>
      <c r="D5" s="124" t="s">
        <v>107</v>
      </c>
      <c r="E5" s="125">
        <v>35221</v>
      </c>
      <c r="F5" s="124" t="s">
        <v>106</v>
      </c>
      <c r="G5" s="126">
        <v>40</v>
      </c>
      <c r="H5" s="127">
        <v>23.75</v>
      </c>
      <c r="I5" s="127">
        <f t="shared" si="0"/>
        <v>950</v>
      </c>
      <c r="J5" s="152" t="str">
        <f t="shared" si="1"/>
        <v>Teri Binga</v>
      </c>
      <c r="L5" s="153"/>
    </row>
    <row r="6" spans="1:12">
      <c r="A6" s="124">
        <v>5</v>
      </c>
      <c r="B6" s="124" t="s">
        <v>359</v>
      </c>
      <c r="C6" s="124" t="s">
        <v>358</v>
      </c>
      <c r="D6" s="124" t="s">
        <v>357</v>
      </c>
      <c r="E6" s="125">
        <v>33399</v>
      </c>
      <c r="F6" s="124" t="s">
        <v>125</v>
      </c>
      <c r="G6" s="126">
        <v>40</v>
      </c>
      <c r="H6" s="127">
        <v>27.6</v>
      </c>
      <c r="I6" s="127">
        <f t="shared" si="0"/>
        <v>1104</v>
      </c>
      <c r="J6" s="152" t="str">
        <f t="shared" si="1"/>
        <v>Frank Culbert</v>
      </c>
      <c r="L6" s="153"/>
    </row>
    <row r="7" spans="1:12">
      <c r="A7" s="124">
        <v>6</v>
      </c>
      <c r="B7" s="124" t="s">
        <v>356</v>
      </c>
      <c r="C7" s="124" t="s">
        <v>355</v>
      </c>
      <c r="D7" s="124" t="s">
        <v>354</v>
      </c>
      <c r="E7" s="125">
        <v>34853</v>
      </c>
      <c r="F7" s="124" t="s">
        <v>121</v>
      </c>
      <c r="G7" s="126">
        <v>35</v>
      </c>
      <c r="H7" s="127">
        <v>39</v>
      </c>
      <c r="I7" s="127">
        <f t="shared" si="0"/>
        <v>1365</v>
      </c>
      <c r="J7" s="152" t="str">
        <f t="shared" si="1"/>
        <v>Kristen DeVinney</v>
      </c>
      <c r="L7" s="153"/>
    </row>
    <row r="8" spans="1:12">
      <c r="A8" s="124">
        <v>7</v>
      </c>
      <c r="B8" s="124" t="s">
        <v>353</v>
      </c>
      <c r="C8" s="124" t="s">
        <v>157</v>
      </c>
      <c r="D8" s="124" t="s">
        <v>352</v>
      </c>
      <c r="E8" s="125">
        <v>35485</v>
      </c>
      <c r="F8" s="124" t="s">
        <v>106</v>
      </c>
      <c r="G8" s="126">
        <v>35</v>
      </c>
      <c r="H8" s="127">
        <v>27.1</v>
      </c>
      <c r="I8" s="127">
        <f t="shared" si="0"/>
        <v>948.5</v>
      </c>
      <c r="J8" s="152" t="str">
        <f t="shared" si="1"/>
        <v>Theresa Califano</v>
      </c>
      <c r="L8" s="153"/>
    </row>
    <row r="9" spans="1:12">
      <c r="A9" s="124">
        <v>8</v>
      </c>
      <c r="B9" s="124" t="s">
        <v>351</v>
      </c>
      <c r="C9" s="124" t="s">
        <v>350</v>
      </c>
      <c r="D9" s="124" t="s">
        <v>349</v>
      </c>
      <c r="E9" s="125">
        <v>33341</v>
      </c>
      <c r="F9" s="124" t="s">
        <v>121</v>
      </c>
      <c r="G9" s="126">
        <v>40</v>
      </c>
      <c r="H9" s="127">
        <v>48</v>
      </c>
      <c r="I9" s="127">
        <f t="shared" si="0"/>
        <v>1920</v>
      </c>
      <c r="J9" s="152" t="str">
        <f t="shared" si="1"/>
        <v>Barry Bally</v>
      </c>
      <c r="L9" s="153"/>
    </row>
    <row r="10" spans="1:12">
      <c r="A10" s="124">
        <v>9</v>
      </c>
      <c r="B10" s="124" t="s">
        <v>348</v>
      </c>
      <c r="C10" s="124" t="s">
        <v>347</v>
      </c>
      <c r="D10" s="124" t="s">
        <v>346</v>
      </c>
      <c r="E10" s="125">
        <v>35825</v>
      </c>
      <c r="F10" s="124" t="s">
        <v>114</v>
      </c>
      <c r="G10" s="126">
        <v>35.5</v>
      </c>
      <c r="H10" s="127">
        <v>28.3</v>
      </c>
      <c r="I10" s="127">
        <f t="shared" si="0"/>
        <v>1004.65</v>
      </c>
      <c r="J10" s="152" t="str">
        <f t="shared" si="1"/>
        <v>Cheryl Halal</v>
      </c>
      <c r="L10" s="153"/>
    </row>
    <row r="11" spans="1:12">
      <c r="A11" s="124">
        <v>10</v>
      </c>
      <c r="B11" s="124" t="s">
        <v>345</v>
      </c>
      <c r="C11" s="124" t="s">
        <v>344</v>
      </c>
      <c r="D11" s="124" t="s">
        <v>343</v>
      </c>
      <c r="E11" s="125">
        <v>36157</v>
      </c>
      <c r="F11" s="124"/>
      <c r="G11" s="126">
        <v>40</v>
      </c>
      <c r="H11" s="127">
        <v>36.5</v>
      </c>
      <c r="I11" s="127">
        <f t="shared" si="0"/>
        <v>1460</v>
      </c>
      <c r="J11" s="152" t="str">
        <f t="shared" si="1"/>
        <v>Harry Swayne</v>
      </c>
      <c r="L11" s="153"/>
    </row>
    <row r="12" spans="1:12">
      <c r="A12" s="124">
        <v>11</v>
      </c>
      <c r="B12" s="124" t="s">
        <v>342</v>
      </c>
      <c r="C12" s="124" t="s">
        <v>341</v>
      </c>
      <c r="D12" s="124" t="s">
        <v>340</v>
      </c>
      <c r="E12" s="125">
        <v>33822</v>
      </c>
      <c r="F12" s="124" t="s">
        <v>110</v>
      </c>
      <c r="G12" s="126">
        <v>35.5</v>
      </c>
      <c r="H12" s="127">
        <v>28.3</v>
      </c>
      <c r="I12" s="127">
        <f t="shared" si="0"/>
        <v>1004.65</v>
      </c>
      <c r="J12" s="152" t="str">
        <f t="shared" si="1"/>
        <v>Shing Chen</v>
      </c>
      <c r="L12" s="153"/>
    </row>
    <row r="13" spans="1:12">
      <c r="A13" s="124">
        <v>12</v>
      </c>
      <c r="B13" s="124" t="s">
        <v>339</v>
      </c>
      <c r="C13" s="124" t="s">
        <v>338</v>
      </c>
      <c r="D13" s="124" t="s">
        <v>337</v>
      </c>
      <c r="E13" s="125">
        <v>35888</v>
      </c>
      <c r="F13" s="124" t="s">
        <v>125</v>
      </c>
      <c r="G13" s="126">
        <v>32</v>
      </c>
      <c r="H13" s="127">
        <v>20.5</v>
      </c>
      <c r="I13" s="127">
        <f t="shared" si="0"/>
        <v>656</v>
      </c>
      <c r="J13" s="152" t="str">
        <f t="shared" si="1"/>
        <v>Seth Rose</v>
      </c>
      <c r="L13" s="153"/>
    </row>
    <row r="14" spans="1:12">
      <c r="A14" s="124">
        <v>13</v>
      </c>
      <c r="B14" s="124" t="s">
        <v>336</v>
      </c>
      <c r="C14" s="124" t="s">
        <v>335</v>
      </c>
      <c r="D14" s="124" t="s">
        <v>334</v>
      </c>
      <c r="E14" s="125">
        <v>33992</v>
      </c>
      <c r="F14" s="124" t="s">
        <v>551</v>
      </c>
      <c r="G14" s="126">
        <v>35.5</v>
      </c>
      <c r="H14" s="127">
        <v>50</v>
      </c>
      <c r="I14" s="127">
        <f t="shared" si="0"/>
        <v>1775</v>
      </c>
      <c r="J14" s="152" t="str">
        <f t="shared" si="1"/>
        <v>Bob Ambrose</v>
      </c>
      <c r="L14" s="153"/>
    </row>
    <row r="15" spans="1:12">
      <c r="A15" s="124">
        <v>14</v>
      </c>
      <c r="B15" s="124" t="s">
        <v>333</v>
      </c>
      <c r="C15" s="124" t="s">
        <v>191</v>
      </c>
      <c r="D15" s="124" t="s">
        <v>332</v>
      </c>
      <c r="E15" s="125">
        <v>35195</v>
      </c>
      <c r="F15" s="124" t="s">
        <v>129</v>
      </c>
      <c r="G15" s="126">
        <v>40</v>
      </c>
      <c r="H15" s="127">
        <v>22.22</v>
      </c>
      <c r="I15" s="127">
        <f t="shared" si="0"/>
        <v>888.8</v>
      </c>
      <c r="J15" s="152" t="str">
        <f t="shared" si="1"/>
        <v>Chris Hume</v>
      </c>
      <c r="L15" s="153"/>
    </row>
    <row r="16" spans="1:12">
      <c r="A16" s="124">
        <v>15</v>
      </c>
      <c r="B16" s="124" t="s">
        <v>331</v>
      </c>
      <c r="C16" s="124" t="s">
        <v>298</v>
      </c>
      <c r="D16" s="124" t="s">
        <v>330</v>
      </c>
      <c r="E16" s="125">
        <v>34858</v>
      </c>
      <c r="F16" s="124" t="s">
        <v>129</v>
      </c>
      <c r="G16" s="126">
        <v>40</v>
      </c>
      <c r="H16" s="127">
        <v>27.6</v>
      </c>
      <c r="I16" s="127">
        <f t="shared" si="0"/>
        <v>1104</v>
      </c>
      <c r="J16" s="152" t="str">
        <f t="shared" si="1"/>
        <v>Robert Murray</v>
      </c>
      <c r="L16" s="153"/>
    </row>
    <row r="17" spans="1:12">
      <c r="A17" s="124">
        <v>16</v>
      </c>
      <c r="B17" s="124" t="s">
        <v>329</v>
      </c>
      <c r="C17" s="124" t="s">
        <v>286</v>
      </c>
      <c r="D17" s="124" t="s">
        <v>328</v>
      </c>
      <c r="E17" s="125">
        <v>34616</v>
      </c>
      <c r="F17" s="124" t="s">
        <v>129</v>
      </c>
      <c r="G17" s="126">
        <v>35.5</v>
      </c>
      <c r="H17" s="127">
        <v>55</v>
      </c>
      <c r="I17" s="127">
        <f t="shared" si="0"/>
        <v>1952.5</v>
      </c>
      <c r="J17" s="152" t="str">
        <f t="shared" si="1"/>
        <v>James Rich</v>
      </c>
      <c r="L17" s="153"/>
    </row>
    <row r="18" spans="1:12">
      <c r="A18" s="124">
        <v>17</v>
      </c>
      <c r="B18" s="124" t="s">
        <v>327</v>
      </c>
      <c r="C18" s="124" t="s">
        <v>241</v>
      </c>
      <c r="D18" s="124" t="s">
        <v>326</v>
      </c>
      <c r="E18" s="125">
        <v>34094</v>
      </c>
      <c r="F18" s="124" t="s">
        <v>155</v>
      </c>
      <c r="G18" s="126">
        <v>40</v>
      </c>
      <c r="H18" s="127">
        <v>37</v>
      </c>
      <c r="I18" s="127">
        <f t="shared" si="0"/>
        <v>1480</v>
      </c>
      <c r="J18" s="152" t="str">
        <f t="shared" si="1"/>
        <v>George Gorski</v>
      </c>
      <c r="L18" s="153"/>
    </row>
    <row r="19" spans="1:12">
      <c r="A19" s="124">
        <v>18</v>
      </c>
      <c r="B19" s="124" t="s">
        <v>325</v>
      </c>
      <c r="C19" s="124" t="s">
        <v>127</v>
      </c>
      <c r="D19" s="124" t="s">
        <v>324</v>
      </c>
      <c r="E19" s="125">
        <v>35050</v>
      </c>
      <c r="F19" s="124" t="s">
        <v>155</v>
      </c>
      <c r="G19" s="126">
        <v>40</v>
      </c>
      <c r="H19" s="127">
        <v>37</v>
      </c>
      <c r="I19" s="127">
        <f t="shared" si="0"/>
        <v>1480</v>
      </c>
      <c r="J19" s="152" t="str">
        <f t="shared" si="1"/>
        <v>Paul Hoffman</v>
      </c>
      <c r="L19" s="153"/>
    </row>
    <row r="20" spans="1:12">
      <c r="A20" s="124">
        <v>19</v>
      </c>
      <c r="B20" s="124" t="s">
        <v>323</v>
      </c>
      <c r="C20" s="124" t="s">
        <v>322</v>
      </c>
      <c r="D20" s="124" t="s">
        <v>321</v>
      </c>
      <c r="E20" s="125">
        <v>34871</v>
      </c>
      <c r="F20" s="124" t="s">
        <v>106</v>
      </c>
      <c r="G20" s="126">
        <v>40</v>
      </c>
      <c r="H20" s="127">
        <v>30</v>
      </c>
      <c r="I20" s="127">
        <f t="shared" si="0"/>
        <v>1200</v>
      </c>
      <c r="J20" s="152" t="str">
        <f t="shared" si="1"/>
        <v>Dean Kramer</v>
      </c>
      <c r="L20" s="153"/>
    </row>
    <row r="21" spans="1:12">
      <c r="A21" s="124">
        <v>20</v>
      </c>
      <c r="B21" s="124" t="s">
        <v>320</v>
      </c>
      <c r="C21" s="124" t="s">
        <v>235</v>
      </c>
      <c r="D21" s="124" t="s">
        <v>319</v>
      </c>
      <c r="E21" s="125">
        <v>34534</v>
      </c>
      <c r="F21" s="124"/>
      <c r="G21" s="126">
        <v>35.5</v>
      </c>
      <c r="H21" s="127">
        <v>27.5</v>
      </c>
      <c r="I21" s="127">
        <f t="shared" si="0"/>
        <v>976.25</v>
      </c>
      <c r="J21" s="152" t="str">
        <f t="shared" si="1"/>
        <v>Carol Hill</v>
      </c>
      <c r="L21" s="153"/>
    </row>
    <row r="22" spans="1:12">
      <c r="A22" s="124">
        <v>21</v>
      </c>
      <c r="B22" s="124" t="s">
        <v>318</v>
      </c>
      <c r="C22" s="124" t="s">
        <v>317</v>
      </c>
      <c r="D22" s="124" t="s">
        <v>133</v>
      </c>
      <c r="E22" s="125">
        <v>33649</v>
      </c>
      <c r="F22" s="124" t="s">
        <v>106</v>
      </c>
      <c r="G22" s="126">
        <v>25</v>
      </c>
      <c r="H22" s="127">
        <v>23.52</v>
      </c>
      <c r="I22" s="127">
        <f t="shared" si="0"/>
        <v>588</v>
      </c>
      <c r="J22" s="152" t="str">
        <f t="shared" si="1"/>
        <v>Julia Smith</v>
      </c>
      <c r="L22" s="153"/>
    </row>
    <row r="23" spans="1:12">
      <c r="A23" s="124">
        <v>22</v>
      </c>
      <c r="B23" s="124" t="s">
        <v>316</v>
      </c>
      <c r="C23" s="124" t="s">
        <v>315</v>
      </c>
      <c r="D23" s="124" t="s">
        <v>314</v>
      </c>
      <c r="E23" s="125">
        <v>33634</v>
      </c>
      <c r="F23" s="124" t="s">
        <v>155</v>
      </c>
      <c r="G23" s="126">
        <v>40</v>
      </c>
      <c r="H23" s="127">
        <v>23.75</v>
      </c>
      <c r="I23" s="127">
        <f t="shared" si="0"/>
        <v>950</v>
      </c>
      <c r="J23" s="152" t="str">
        <f t="shared" si="1"/>
        <v>Jacqueline Banks</v>
      </c>
      <c r="L23" s="153"/>
    </row>
    <row r="24" spans="1:12">
      <c r="A24" s="124">
        <v>23</v>
      </c>
      <c r="B24" s="124" t="s">
        <v>313</v>
      </c>
      <c r="C24" s="124" t="s">
        <v>312</v>
      </c>
      <c r="D24" s="124" t="s">
        <v>311</v>
      </c>
      <c r="E24" s="125">
        <v>32573</v>
      </c>
      <c r="F24" s="124" t="s">
        <v>110</v>
      </c>
      <c r="G24" s="126">
        <v>40</v>
      </c>
      <c r="H24" s="127">
        <v>60</v>
      </c>
      <c r="I24" s="127">
        <f t="shared" si="0"/>
        <v>2400</v>
      </c>
      <c r="J24" s="152" t="str">
        <f t="shared" si="1"/>
        <v>Jeffrey Strong</v>
      </c>
      <c r="L24" s="153"/>
    </row>
    <row r="25" spans="1:12">
      <c r="A25" s="124">
        <v>24</v>
      </c>
      <c r="B25" s="124" t="s">
        <v>310</v>
      </c>
      <c r="C25" s="124" t="s">
        <v>309</v>
      </c>
      <c r="D25" s="124" t="s">
        <v>308</v>
      </c>
      <c r="E25" s="125">
        <v>33700</v>
      </c>
      <c r="F25" s="124"/>
      <c r="G25" s="126">
        <v>40</v>
      </c>
      <c r="H25" s="127">
        <v>52</v>
      </c>
      <c r="I25" s="127">
        <f t="shared" si="0"/>
        <v>2080</v>
      </c>
      <c r="J25" s="152" t="str">
        <f t="shared" si="1"/>
        <v>Jeri Lynn MacFall</v>
      </c>
      <c r="L25" s="153"/>
    </row>
    <row r="26" spans="1:12">
      <c r="A26" s="124">
        <v>25</v>
      </c>
      <c r="B26" s="124" t="s">
        <v>307</v>
      </c>
      <c r="C26" s="124" t="s">
        <v>306</v>
      </c>
      <c r="D26" s="124" t="s">
        <v>179</v>
      </c>
      <c r="E26" s="125">
        <v>35747</v>
      </c>
      <c r="F26" s="124" t="s">
        <v>125</v>
      </c>
      <c r="G26" s="126">
        <v>40</v>
      </c>
      <c r="H26" s="127">
        <v>30.5</v>
      </c>
      <c r="I26" s="127">
        <f t="shared" si="0"/>
        <v>1220</v>
      </c>
      <c r="J26" s="152" t="str">
        <f t="shared" si="1"/>
        <v>Sung Kim</v>
      </c>
      <c r="L26" s="153"/>
    </row>
    <row r="27" spans="1:12">
      <c r="A27" s="124">
        <v>26</v>
      </c>
      <c r="B27" s="124" t="s">
        <v>305</v>
      </c>
      <c r="C27" s="124" t="s">
        <v>304</v>
      </c>
      <c r="D27" s="124" t="s">
        <v>303</v>
      </c>
      <c r="E27" s="125">
        <v>36374</v>
      </c>
      <c r="F27" s="124" t="s">
        <v>125</v>
      </c>
      <c r="G27" s="126">
        <v>32</v>
      </c>
      <c r="H27" s="127">
        <v>20.5</v>
      </c>
      <c r="I27" s="127">
        <f t="shared" si="0"/>
        <v>656</v>
      </c>
      <c r="J27" s="152" t="str">
        <f t="shared" si="1"/>
        <v>Theodore Ness</v>
      </c>
      <c r="L27" s="153"/>
    </row>
    <row r="28" spans="1:12">
      <c r="A28" s="124">
        <v>27</v>
      </c>
      <c r="B28" s="124" t="s">
        <v>302</v>
      </c>
      <c r="C28" s="124" t="s">
        <v>301</v>
      </c>
      <c r="D28" s="124" t="s">
        <v>300</v>
      </c>
      <c r="E28" s="125">
        <v>34279</v>
      </c>
      <c r="F28" s="124" t="s">
        <v>155</v>
      </c>
      <c r="G28" s="126">
        <v>40</v>
      </c>
      <c r="H28" s="127">
        <v>34.5</v>
      </c>
      <c r="I28" s="127">
        <f t="shared" si="0"/>
        <v>1380</v>
      </c>
      <c r="J28" s="152" t="str">
        <f t="shared" si="1"/>
        <v>Brad Hinkelman</v>
      </c>
      <c r="L28" s="153"/>
    </row>
    <row r="29" spans="1:12">
      <c r="A29" s="124">
        <v>28</v>
      </c>
      <c r="B29" s="124" t="s">
        <v>299</v>
      </c>
      <c r="C29" s="124" t="s">
        <v>298</v>
      </c>
      <c r="D29" s="124" t="s">
        <v>297</v>
      </c>
      <c r="E29" s="125">
        <v>33497</v>
      </c>
      <c r="F29" s="124" t="s">
        <v>125</v>
      </c>
      <c r="G29" s="126">
        <v>40</v>
      </c>
      <c r="H29" s="127">
        <v>45</v>
      </c>
      <c r="I29" s="127">
        <f t="shared" si="0"/>
        <v>1800</v>
      </c>
      <c r="J29" s="152" t="str">
        <f t="shared" si="1"/>
        <v>Robert Cuffaro</v>
      </c>
      <c r="L29" s="153"/>
    </row>
    <row r="30" spans="1:12">
      <c r="A30" s="124">
        <v>29</v>
      </c>
      <c r="B30" s="124" t="s">
        <v>296</v>
      </c>
      <c r="C30" s="124" t="s">
        <v>295</v>
      </c>
      <c r="D30" s="124" t="s">
        <v>294</v>
      </c>
      <c r="E30" s="125">
        <v>33831</v>
      </c>
      <c r="F30" s="124" t="s">
        <v>155</v>
      </c>
      <c r="G30" s="126">
        <v>32</v>
      </c>
      <c r="H30" s="127">
        <v>20.5</v>
      </c>
      <c r="I30" s="127">
        <f t="shared" si="0"/>
        <v>656</v>
      </c>
      <c r="J30" s="152" t="str">
        <f t="shared" si="1"/>
        <v>Donald Reese</v>
      </c>
      <c r="L30" s="153"/>
    </row>
    <row r="31" spans="1:12">
      <c r="A31" s="124">
        <v>30</v>
      </c>
      <c r="B31" s="124" t="s">
        <v>293</v>
      </c>
      <c r="C31" s="124" t="s">
        <v>292</v>
      </c>
      <c r="D31" s="124" t="s">
        <v>291</v>
      </c>
      <c r="E31" s="125">
        <v>33837</v>
      </c>
      <c r="F31" s="124" t="s">
        <v>155</v>
      </c>
      <c r="G31" s="126">
        <v>40</v>
      </c>
      <c r="H31" s="127">
        <v>36.5</v>
      </c>
      <c r="I31" s="127">
        <f t="shared" si="0"/>
        <v>1460</v>
      </c>
      <c r="J31" s="152" t="str">
        <f t="shared" si="1"/>
        <v>Joanne Parker</v>
      </c>
      <c r="L31" s="153"/>
    </row>
    <row r="32" spans="1:12">
      <c r="A32" s="124">
        <v>31</v>
      </c>
      <c r="B32" s="124" t="s">
        <v>290</v>
      </c>
      <c r="C32" s="124" t="s">
        <v>289</v>
      </c>
      <c r="D32" s="124" t="s">
        <v>288</v>
      </c>
      <c r="E32" s="125">
        <v>35775</v>
      </c>
      <c r="F32" s="124" t="s">
        <v>110</v>
      </c>
      <c r="G32" s="126">
        <v>25</v>
      </c>
      <c r="H32" s="127">
        <v>23.52</v>
      </c>
      <c r="I32" s="127">
        <f t="shared" si="0"/>
        <v>588</v>
      </c>
      <c r="J32" s="152" t="str">
        <f t="shared" si="1"/>
        <v>Susan Drake</v>
      </c>
      <c r="L32" s="153"/>
    </row>
    <row r="33" spans="1:12">
      <c r="A33" s="124">
        <v>32</v>
      </c>
      <c r="B33" s="124" t="s">
        <v>287</v>
      </c>
      <c r="C33" s="124" t="s">
        <v>286</v>
      </c>
      <c r="D33" s="124" t="s">
        <v>184</v>
      </c>
      <c r="E33" s="125">
        <v>36194</v>
      </c>
      <c r="F33" s="124"/>
      <c r="G33" s="126">
        <v>35</v>
      </c>
      <c r="H33" s="127">
        <v>27.1</v>
      </c>
      <c r="I33" s="127">
        <f t="shared" si="0"/>
        <v>948.5</v>
      </c>
      <c r="J33" s="152" t="str">
        <f t="shared" si="1"/>
        <v>James Abel</v>
      </c>
      <c r="L33" s="153"/>
    </row>
    <row r="34" spans="1:12">
      <c r="A34" s="124">
        <v>33</v>
      </c>
      <c r="B34" s="124" t="s">
        <v>285</v>
      </c>
      <c r="C34" s="124" t="s">
        <v>284</v>
      </c>
      <c r="D34" s="124" t="s">
        <v>283</v>
      </c>
      <c r="E34" s="125">
        <v>36017</v>
      </c>
      <c r="F34" s="124" t="s">
        <v>106</v>
      </c>
      <c r="G34" s="126">
        <v>35</v>
      </c>
      <c r="H34" s="127">
        <v>50</v>
      </c>
      <c r="I34" s="127">
        <f t="shared" ref="I34:I65" si="2">G34*H34</f>
        <v>1750</v>
      </c>
      <c r="J34" s="152" t="str">
        <f t="shared" si="1"/>
        <v>Laura Reagan</v>
      </c>
      <c r="L34" s="153"/>
    </row>
    <row r="35" spans="1:12">
      <c r="A35" s="124">
        <v>34</v>
      </c>
      <c r="B35" s="124" t="s">
        <v>282</v>
      </c>
      <c r="C35" s="124" t="s">
        <v>281</v>
      </c>
      <c r="D35" s="124" t="s">
        <v>133</v>
      </c>
      <c r="E35" s="125">
        <v>35372</v>
      </c>
      <c r="F35" s="124" t="s">
        <v>121</v>
      </c>
      <c r="G35" s="126">
        <v>40</v>
      </c>
      <c r="H35" s="127">
        <v>34.5</v>
      </c>
      <c r="I35" s="127">
        <f t="shared" si="2"/>
        <v>1380</v>
      </c>
      <c r="J35" s="152" t="str">
        <f t="shared" si="1"/>
        <v>Brian Smith</v>
      </c>
      <c r="L35" s="153"/>
    </row>
    <row r="36" spans="1:12">
      <c r="A36" s="124">
        <v>35</v>
      </c>
      <c r="B36" s="124" t="s">
        <v>280</v>
      </c>
      <c r="C36" s="124" t="s">
        <v>274</v>
      </c>
      <c r="D36" s="124" t="s">
        <v>279</v>
      </c>
      <c r="E36" s="125">
        <v>35026</v>
      </c>
      <c r="F36" s="124" t="s">
        <v>121</v>
      </c>
      <c r="G36" s="126">
        <v>35.5</v>
      </c>
      <c r="H36" s="127">
        <v>55</v>
      </c>
      <c r="I36" s="127">
        <f t="shared" si="2"/>
        <v>1952.5</v>
      </c>
      <c r="J36" s="152" t="str">
        <f t="shared" si="1"/>
        <v>Mary Barber</v>
      </c>
      <c r="L36" s="153"/>
    </row>
    <row r="37" spans="1:12">
      <c r="A37" s="124">
        <v>36</v>
      </c>
      <c r="B37" s="124" t="s">
        <v>278</v>
      </c>
      <c r="C37" s="124" t="s">
        <v>277</v>
      </c>
      <c r="D37" s="124" t="s">
        <v>276</v>
      </c>
      <c r="E37" s="125">
        <v>34483</v>
      </c>
      <c r="F37" s="124"/>
      <c r="G37" s="126">
        <v>40</v>
      </c>
      <c r="H37" s="127">
        <v>23.75</v>
      </c>
      <c r="I37" s="127">
        <f t="shared" si="2"/>
        <v>950</v>
      </c>
      <c r="J37" s="152" t="str">
        <f t="shared" si="1"/>
        <v>Peter Allen</v>
      </c>
      <c r="L37" s="153"/>
    </row>
    <row r="38" spans="1:12">
      <c r="A38" s="124">
        <v>37</v>
      </c>
      <c r="B38" s="124" t="s">
        <v>275</v>
      </c>
      <c r="C38" s="124" t="s">
        <v>274</v>
      </c>
      <c r="D38" s="124" t="s">
        <v>273</v>
      </c>
      <c r="E38" s="125">
        <v>34949</v>
      </c>
      <c r="F38" s="124" t="s">
        <v>155</v>
      </c>
      <c r="G38" s="126">
        <v>29.5</v>
      </c>
      <c r="H38" s="127">
        <v>21.5</v>
      </c>
      <c r="I38" s="127">
        <f t="shared" si="2"/>
        <v>634.25</v>
      </c>
      <c r="J38" s="152" t="str">
        <f t="shared" si="1"/>
        <v>Mary Altman</v>
      </c>
      <c r="L38" s="153"/>
    </row>
    <row r="39" spans="1:12">
      <c r="A39" s="124">
        <v>38</v>
      </c>
      <c r="B39" s="124" t="s">
        <v>272</v>
      </c>
      <c r="C39" s="124" t="s">
        <v>271</v>
      </c>
      <c r="D39" s="124" t="s">
        <v>270</v>
      </c>
      <c r="E39" s="125">
        <v>33404</v>
      </c>
      <c r="F39" s="124" t="s">
        <v>121</v>
      </c>
      <c r="G39" s="126">
        <v>38</v>
      </c>
      <c r="H39" s="127">
        <v>30.5</v>
      </c>
      <c r="I39" s="127">
        <f t="shared" si="2"/>
        <v>1159</v>
      </c>
      <c r="J39" s="152" t="str">
        <f t="shared" si="1"/>
        <v>Fred Mallory</v>
      </c>
      <c r="L39" s="153"/>
    </row>
    <row r="40" spans="1:12">
      <c r="A40" s="124">
        <v>39</v>
      </c>
      <c r="B40" s="124" t="s">
        <v>269</v>
      </c>
      <c r="C40" s="124" t="s">
        <v>268</v>
      </c>
      <c r="D40" s="124" t="s">
        <v>267</v>
      </c>
      <c r="E40" s="125">
        <v>35655</v>
      </c>
      <c r="F40" s="124" t="s">
        <v>129</v>
      </c>
      <c r="G40" s="126">
        <v>40</v>
      </c>
      <c r="H40" s="127">
        <v>37</v>
      </c>
      <c r="I40" s="127">
        <f t="shared" si="2"/>
        <v>1480</v>
      </c>
      <c r="J40" s="152" t="str">
        <f t="shared" si="1"/>
        <v>Molly Steadman</v>
      </c>
      <c r="L40" s="153"/>
    </row>
    <row r="41" spans="1:12">
      <c r="A41" s="124">
        <v>40</v>
      </c>
      <c r="B41" s="124" t="s">
        <v>266</v>
      </c>
      <c r="C41" s="124" t="s">
        <v>116</v>
      </c>
      <c r="D41" s="124" t="s">
        <v>265</v>
      </c>
      <c r="E41" s="125">
        <v>35005</v>
      </c>
      <c r="F41" s="124"/>
      <c r="G41" s="126">
        <v>38</v>
      </c>
      <c r="H41" s="127">
        <v>30.5</v>
      </c>
      <c r="I41" s="127">
        <f t="shared" si="2"/>
        <v>1159</v>
      </c>
      <c r="J41" s="152" t="str">
        <f t="shared" si="1"/>
        <v>Greg Connors</v>
      </c>
      <c r="L41" s="153"/>
    </row>
    <row r="42" spans="1:12">
      <c r="A42" s="124">
        <v>41</v>
      </c>
      <c r="B42" s="124" t="s">
        <v>264</v>
      </c>
      <c r="C42" s="124" t="s">
        <v>263</v>
      </c>
      <c r="D42" s="124" t="s">
        <v>262</v>
      </c>
      <c r="E42" s="125">
        <v>34471</v>
      </c>
      <c r="F42" s="124" t="s">
        <v>114</v>
      </c>
      <c r="G42" s="126">
        <v>40</v>
      </c>
      <c r="H42" s="127">
        <v>23.22</v>
      </c>
      <c r="I42" s="127">
        <f t="shared" si="2"/>
        <v>928.8</v>
      </c>
      <c r="J42" s="152" t="str">
        <f t="shared" si="1"/>
        <v>Kathy Mayron</v>
      </c>
      <c r="L42" s="153"/>
    </row>
    <row r="43" spans="1:12">
      <c r="A43" s="124">
        <v>42</v>
      </c>
      <c r="B43" s="124" t="s">
        <v>261</v>
      </c>
      <c r="C43" s="124" t="s">
        <v>217</v>
      </c>
      <c r="D43" s="124" t="s">
        <v>260</v>
      </c>
      <c r="E43" s="125">
        <v>32883</v>
      </c>
      <c r="F43" s="124"/>
      <c r="G43" s="126">
        <v>40</v>
      </c>
      <c r="H43" s="127">
        <v>45</v>
      </c>
      <c r="I43" s="127">
        <f t="shared" si="2"/>
        <v>1800</v>
      </c>
      <c r="J43" s="152" t="str">
        <f t="shared" si="1"/>
        <v>Bill Simpson</v>
      </c>
      <c r="L43" s="153"/>
    </row>
    <row r="44" spans="1:12">
      <c r="A44" s="124">
        <v>43</v>
      </c>
      <c r="B44" s="124" t="s">
        <v>259</v>
      </c>
      <c r="C44" s="124" t="s">
        <v>203</v>
      </c>
      <c r="D44" s="124" t="s">
        <v>258</v>
      </c>
      <c r="E44" s="125">
        <v>34414</v>
      </c>
      <c r="F44" s="124" t="s">
        <v>129</v>
      </c>
      <c r="G44" s="126">
        <v>35</v>
      </c>
      <c r="H44" s="127">
        <v>39</v>
      </c>
      <c r="I44" s="127">
        <f t="shared" si="2"/>
        <v>1365</v>
      </c>
      <c r="J44" s="152" t="str">
        <f t="shared" si="1"/>
        <v>Michael Richardson</v>
      </c>
      <c r="L44" s="153"/>
    </row>
    <row r="45" spans="1:12">
      <c r="A45" s="124">
        <v>44</v>
      </c>
      <c r="B45" s="124" t="s">
        <v>257</v>
      </c>
      <c r="C45" s="124" t="s">
        <v>256</v>
      </c>
      <c r="D45" s="124" t="s">
        <v>255</v>
      </c>
      <c r="E45" s="125">
        <v>34671</v>
      </c>
      <c r="F45" s="124" t="s">
        <v>114</v>
      </c>
      <c r="G45" s="126">
        <v>15.5</v>
      </c>
      <c r="H45" s="127">
        <v>21.5</v>
      </c>
      <c r="I45" s="127">
        <f t="shared" si="2"/>
        <v>333.25</v>
      </c>
      <c r="J45" s="152" t="str">
        <f t="shared" si="1"/>
        <v>Melanie Bowers</v>
      </c>
      <c r="L45" s="153"/>
    </row>
    <row r="46" spans="1:12">
      <c r="A46" s="124">
        <v>45</v>
      </c>
      <c r="B46" s="124" t="s">
        <v>254</v>
      </c>
      <c r="C46" s="124" t="s">
        <v>253</v>
      </c>
      <c r="D46" s="124" t="s">
        <v>252</v>
      </c>
      <c r="E46" s="125">
        <v>33883</v>
      </c>
      <c r="F46" s="124" t="s">
        <v>155</v>
      </c>
      <c r="G46" s="126">
        <v>40</v>
      </c>
      <c r="H46" s="127">
        <v>37</v>
      </c>
      <c r="I46" s="127">
        <f t="shared" si="2"/>
        <v>1480</v>
      </c>
      <c r="J46" s="152" t="str">
        <f t="shared" si="1"/>
        <v>Kyle Earnhart</v>
      </c>
      <c r="L46" s="153"/>
    </row>
    <row r="47" spans="1:12">
      <c r="A47" s="124">
        <v>46</v>
      </c>
      <c r="B47" s="124" t="s">
        <v>251</v>
      </c>
      <c r="C47" s="124" t="s">
        <v>250</v>
      </c>
      <c r="D47" s="124" t="s">
        <v>249</v>
      </c>
      <c r="E47" s="125">
        <v>35427</v>
      </c>
      <c r="F47" s="124" t="s">
        <v>125</v>
      </c>
      <c r="G47" s="126">
        <v>32</v>
      </c>
      <c r="H47" s="127">
        <v>20.5</v>
      </c>
      <c r="I47" s="127">
        <f t="shared" si="2"/>
        <v>656</v>
      </c>
      <c r="J47" s="152" t="str">
        <f t="shared" si="1"/>
        <v>Lance Davies</v>
      </c>
      <c r="L47" s="153"/>
    </row>
    <row r="48" spans="1:12">
      <c r="A48" s="124">
        <v>47</v>
      </c>
      <c r="B48" s="124" t="s">
        <v>248</v>
      </c>
      <c r="C48" s="124" t="s">
        <v>247</v>
      </c>
      <c r="D48" s="124" t="s">
        <v>246</v>
      </c>
      <c r="E48" s="125">
        <v>34428</v>
      </c>
      <c r="F48" s="124" t="s">
        <v>106</v>
      </c>
      <c r="G48" s="126">
        <v>25</v>
      </c>
      <c r="H48" s="127">
        <v>23.52</v>
      </c>
      <c r="I48" s="127">
        <f t="shared" si="2"/>
        <v>588</v>
      </c>
      <c r="J48" s="152" t="str">
        <f t="shared" si="1"/>
        <v>Anne Davidson</v>
      </c>
      <c r="L48" s="153"/>
    </row>
    <row r="49" spans="1:12">
      <c r="A49" s="124">
        <v>48</v>
      </c>
      <c r="B49" s="124" t="s">
        <v>245</v>
      </c>
      <c r="C49" s="124" t="s">
        <v>244</v>
      </c>
      <c r="D49" s="124" t="s">
        <v>243</v>
      </c>
      <c r="E49" s="125">
        <v>34843</v>
      </c>
      <c r="F49" s="124" t="s">
        <v>110</v>
      </c>
      <c r="G49" s="126">
        <v>38</v>
      </c>
      <c r="H49" s="127">
        <v>55</v>
      </c>
      <c r="I49" s="127">
        <f t="shared" si="2"/>
        <v>2090</v>
      </c>
      <c r="J49" s="152" t="str">
        <f t="shared" si="1"/>
        <v>Doug Briscoll</v>
      </c>
      <c r="L49" s="153"/>
    </row>
    <row r="50" spans="1:12">
      <c r="A50" s="124">
        <v>49</v>
      </c>
      <c r="B50" s="124" t="s">
        <v>242</v>
      </c>
      <c r="C50" s="124" t="s">
        <v>241</v>
      </c>
      <c r="D50" s="124" t="s">
        <v>240</v>
      </c>
      <c r="E50" s="125">
        <v>35034</v>
      </c>
      <c r="F50" s="124" t="s">
        <v>125</v>
      </c>
      <c r="G50" s="126">
        <v>35.5</v>
      </c>
      <c r="H50" s="127">
        <v>27.5</v>
      </c>
      <c r="I50" s="127">
        <f t="shared" si="2"/>
        <v>976.25</v>
      </c>
      <c r="J50" s="152" t="str">
        <f t="shared" si="1"/>
        <v>George Feldsott</v>
      </c>
      <c r="L50" s="153"/>
    </row>
    <row r="51" spans="1:12">
      <c r="A51" s="124">
        <v>50</v>
      </c>
      <c r="B51" s="124" t="s">
        <v>239</v>
      </c>
      <c r="C51" s="124" t="s">
        <v>238</v>
      </c>
      <c r="D51" s="124" t="s">
        <v>237</v>
      </c>
      <c r="E51" s="125">
        <v>34610</v>
      </c>
      <c r="F51" s="124" t="s">
        <v>110</v>
      </c>
      <c r="G51" s="126">
        <v>40</v>
      </c>
      <c r="H51" s="127">
        <v>36.5</v>
      </c>
      <c r="I51" s="127">
        <f t="shared" si="2"/>
        <v>1460</v>
      </c>
      <c r="J51" s="152" t="str">
        <f t="shared" si="1"/>
        <v>Steve Singer</v>
      </c>
      <c r="L51" s="153"/>
    </row>
    <row r="52" spans="1:12">
      <c r="A52" s="124">
        <v>51</v>
      </c>
      <c r="B52" s="124" t="s">
        <v>236</v>
      </c>
      <c r="C52" s="124" t="s">
        <v>235</v>
      </c>
      <c r="D52" s="124" t="s">
        <v>234</v>
      </c>
      <c r="E52" s="125">
        <v>33704</v>
      </c>
      <c r="F52" s="124"/>
      <c r="G52" s="126">
        <v>38</v>
      </c>
      <c r="H52" s="127">
        <v>30.5</v>
      </c>
      <c r="I52" s="127">
        <f t="shared" si="2"/>
        <v>1159</v>
      </c>
      <c r="J52" s="152" t="str">
        <f t="shared" si="1"/>
        <v>Carol Tucker</v>
      </c>
      <c r="L52" s="153"/>
    </row>
    <row r="53" spans="1:12">
      <c r="A53" s="124">
        <v>52</v>
      </c>
      <c r="B53" s="124" t="s">
        <v>233</v>
      </c>
      <c r="C53" s="124" t="s">
        <v>232</v>
      </c>
      <c r="D53" s="124" t="s">
        <v>231</v>
      </c>
      <c r="E53" s="125">
        <v>34998</v>
      </c>
      <c r="F53" s="124" t="s">
        <v>106</v>
      </c>
      <c r="G53" s="126">
        <v>40</v>
      </c>
      <c r="H53" s="127">
        <v>36.5</v>
      </c>
      <c r="I53" s="127">
        <f t="shared" si="2"/>
        <v>1460</v>
      </c>
      <c r="J53" s="152" t="str">
        <f t="shared" si="1"/>
        <v>Henry Paterson</v>
      </c>
      <c r="L53" s="153"/>
    </row>
    <row r="54" spans="1:12">
      <c r="A54" s="124">
        <v>53</v>
      </c>
      <c r="B54" s="124" t="s">
        <v>230</v>
      </c>
      <c r="C54" s="124" t="s">
        <v>229</v>
      </c>
      <c r="D54" s="124" t="s">
        <v>228</v>
      </c>
      <c r="E54" s="125">
        <v>34347</v>
      </c>
      <c r="F54" s="124" t="s">
        <v>106</v>
      </c>
      <c r="G54" s="126">
        <v>35</v>
      </c>
      <c r="H54" s="127">
        <v>39</v>
      </c>
      <c r="I54" s="127">
        <f t="shared" si="2"/>
        <v>1365</v>
      </c>
      <c r="J54" s="152" t="str">
        <f t="shared" si="1"/>
        <v>Brooks Hillen</v>
      </c>
      <c r="L54" s="153"/>
    </row>
    <row r="55" spans="1:12">
      <c r="A55" s="124">
        <v>54</v>
      </c>
      <c r="B55" s="124" t="s">
        <v>227</v>
      </c>
      <c r="C55" s="124" t="s">
        <v>226</v>
      </c>
      <c r="D55" s="124" t="s">
        <v>225</v>
      </c>
      <c r="E55" s="125">
        <v>34615</v>
      </c>
      <c r="F55" s="124"/>
      <c r="G55" s="126">
        <v>40</v>
      </c>
      <c r="H55" s="127">
        <v>36.5</v>
      </c>
      <c r="I55" s="127">
        <f t="shared" si="2"/>
        <v>1460</v>
      </c>
      <c r="J55" s="152" t="str">
        <f t="shared" si="1"/>
        <v>Dominick Mazza</v>
      </c>
      <c r="L55" s="153"/>
    </row>
    <row r="56" spans="1:12">
      <c r="A56" s="124">
        <v>55</v>
      </c>
      <c r="B56" s="124" t="s">
        <v>224</v>
      </c>
      <c r="C56" s="124" t="s">
        <v>223</v>
      </c>
      <c r="D56" s="124" t="s">
        <v>222</v>
      </c>
      <c r="E56" s="125">
        <v>35221</v>
      </c>
      <c r="F56" s="124"/>
      <c r="G56" s="126">
        <v>25</v>
      </c>
      <c r="H56" s="127">
        <v>23.52</v>
      </c>
      <c r="I56" s="127">
        <f t="shared" si="2"/>
        <v>588</v>
      </c>
      <c r="J56" s="152" t="str">
        <f t="shared" si="1"/>
        <v>Jennifer Snyder</v>
      </c>
      <c r="L56" s="153"/>
    </row>
    <row r="57" spans="1:12">
      <c r="A57" s="124">
        <v>56</v>
      </c>
      <c r="B57" s="124" t="s">
        <v>221</v>
      </c>
      <c r="C57" s="124" t="s">
        <v>220</v>
      </c>
      <c r="D57" s="124" t="s">
        <v>219</v>
      </c>
      <c r="E57" s="125">
        <v>36181</v>
      </c>
      <c r="F57" s="124" t="s">
        <v>125</v>
      </c>
      <c r="G57" s="126">
        <v>40</v>
      </c>
      <c r="H57" s="127">
        <v>36.5</v>
      </c>
      <c r="I57" s="127">
        <f t="shared" si="2"/>
        <v>1460</v>
      </c>
      <c r="J57" s="152" t="str">
        <f t="shared" si="1"/>
        <v>Joshua Maccaluso</v>
      </c>
      <c r="L57" s="153"/>
    </row>
    <row r="58" spans="1:12">
      <c r="A58" s="124">
        <v>57</v>
      </c>
      <c r="B58" s="124" t="s">
        <v>218</v>
      </c>
      <c r="C58" s="124" t="s">
        <v>217</v>
      </c>
      <c r="D58" s="124" t="s">
        <v>216</v>
      </c>
      <c r="E58" s="125">
        <v>32732</v>
      </c>
      <c r="F58" s="124" t="s">
        <v>110</v>
      </c>
      <c r="G58" s="126">
        <v>38</v>
      </c>
      <c r="H58" s="127">
        <v>30.5</v>
      </c>
      <c r="I58" s="127">
        <f t="shared" si="2"/>
        <v>1159</v>
      </c>
      <c r="J58" s="152" t="str">
        <f t="shared" si="1"/>
        <v>Bill Wheeler</v>
      </c>
      <c r="L58" s="153"/>
    </row>
    <row r="59" spans="1:12">
      <c r="A59" s="124">
        <v>58</v>
      </c>
      <c r="B59" s="124" t="s">
        <v>215</v>
      </c>
      <c r="C59" s="124" t="s">
        <v>214</v>
      </c>
      <c r="D59" s="124" t="s">
        <v>213</v>
      </c>
      <c r="E59" s="125">
        <v>35755</v>
      </c>
      <c r="F59" s="124" t="s">
        <v>114</v>
      </c>
      <c r="G59" s="126">
        <v>40</v>
      </c>
      <c r="H59" s="127">
        <v>27.6</v>
      </c>
      <c r="I59" s="127">
        <f t="shared" si="2"/>
        <v>1104</v>
      </c>
      <c r="J59" s="152" t="str">
        <f t="shared" si="1"/>
        <v>Todd Masters</v>
      </c>
      <c r="L59" s="153"/>
    </row>
    <row r="60" spans="1:12">
      <c r="A60" s="124">
        <v>59</v>
      </c>
      <c r="B60" s="124" t="s">
        <v>212</v>
      </c>
      <c r="C60" s="124" t="s">
        <v>211</v>
      </c>
      <c r="D60" s="124" t="s">
        <v>184</v>
      </c>
      <c r="E60" s="125">
        <v>34709</v>
      </c>
      <c r="F60" s="124" t="s">
        <v>129</v>
      </c>
      <c r="G60" s="126">
        <v>42</v>
      </c>
      <c r="H60" s="127">
        <v>45</v>
      </c>
      <c r="I60" s="127">
        <f t="shared" si="2"/>
        <v>1890</v>
      </c>
      <c r="J60" s="152" t="str">
        <f t="shared" si="1"/>
        <v>Karina Abel</v>
      </c>
      <c r="L60" s="153"/>
    </row>
    <row r="61" spans="1:12">
      <c r="A61" s="124">
        <v>60</v>
      </c>
      <c r="B61" s="124" t="s">
        <v>210</v>
      </c>
      <c r="C61" s="124" t="s">
        <v>209</v>
      </c>
      <c r="D61" s="124" t="s">
        <v>208</v>
      </c>
      <c r="E61" s="125">
        <v>34500</v>
      </c>
      <c r="F61" s="124" t="s">
        <v>114</v>
      </c>
      <c r="G61" s="126">
        <v>40</v>
      </c>
      <c r="H61" s="127">
        <v>23.75</v>
      </c>
      <c r="I61" s="127">
        <f t="shared" si="2"/>
        <v>950</v>
      </c>
      <c r="J61" s="152" t="str">
        <f t="shared" si="1"/>
        <v>Edward Trelly</v>
      </c>
      <c r="L61" s="153"/>
    </row>
    <row r="62" spans="1:12">
      <c r="A62" s="124">
        <v>61</v>
      </c>
      <c r="B62" s="124" t="s">
        <v>207</v>
      </c>
      <c r="C62" s="124" t="s">
        <v>206</v>
      </c>
      <c r="D62" s="124" t="s">
        <v>205</v>
      </c>
      <c r="E62" s="125">
        <v>34846</v>
      </c>
      <c r="F62" s="124" t="s">
        <v>106</v>
      </c>
      <c r="G62" s="126">
        <v>25</v>
      </c>
      <c r="H62" s="127">
        <v>23.52</v>
      </c>
      <c r="I62" s="127">
        <f t="shared" si="2"/>
        <v>588</v>
      </c>
      <c r="J62" s="152" t="str">
        <f t="shared" si="1"/>
        <v>Christina Lillie</v>
      </c>
      <c r="L62" s="153"/>
    </row>
    <row r="63" spans="1:12">
      <c r="A63" s="124">
        <v>62</v>
      </c>
      <c r="B63" s="124" t="s">
        <v>204</v>
      </c>
      <c r="C63" s="124" t="s">
        <v>203</v>
      </c>
      <c r="D63" s="124" t="s">
        <v>202</v>
      </c>
      <c r="E63" s="125">
        <v>35545</v>
      </c>
      <c r="F63" s="124"/>
      <c r="G63" s="126">
        <v>15.5</v>
      </c>
      <c r="H63" s="127">
        <v>21.5</v>
      </c>
      <c r="I63" s="127">
        <f t="shared" si="2"/>
        <v>333.25</v>
      </c>
      <c r="J63" s="152" t="str">
        <f t="shared" si="1"/>
        <v>Michael Lewis</v>
      </c>
      <c r="L63" s="153"/>
    </row>
    <row r="64" spans="1:12">
      <c r="A64" s="124">
        <v>63</v>
      </c>
      <c r="B64" s="124" t="s">
        <v>201</v>
      </c>
      <c r="C64" s="124" t="s">
        <v>200</v>
      </c>
      <c r="D64" s="124" t="s">
        <v>199</v>
      </c>
      <c r="E64" s="125">
        <v>33059</v>
      </c>
      <c r="F64" s="124" t="s">
        <v>114</v>
      </c>
      <c r="G64" s="126">
        <v>40</v>
      </c>
      <c r="H64" s="127">
        <v>30.5</v>
      </c>
      <c r="I64" s="127">
        <f t="shared" si="2"/>
        <v>1220</v>
      </c>
      <c r="J64" s="152" t="str">
        <f t="shared" si="1"/>
        <v>Jerry McDonald</v>
      </c>
      <c r="L64" s="153"/>
    </row>
    <row r="65" spans="1:12">
      <c r="A65" s="124">
        <v>64</v>
      </c>
      <c r="B65" s="124" t="s">
        <v>198</v>
      </c>
      <c r="C65" s="124" t="s">
        <v>197</v>
      </c>
      <c r="D65" s="124" t="s">
        <v>196</v>
      </c>
      <c r="E65" s="125">
        <v>35390</v>
      </c>
      <c r="F65" s="124" t="s">
        <v>110</v>
      </c>
      <c r="G65" s="126">
        <v>35</v>
      </c>
      <c r="H65" s="127">
        <v>27.1</v>
      </c>
      <c r="I65" s="127">
        <f t="shared" si="2"/>
        <v>948.5</v>
      </c>
      <c r="J65" s="152" t="str">
        <f t="shared" si="1"/>
        <v>Lynne Simmons</v>
      </c>
      <c r="L65" s="153"/>
    </row>
    <row r="66" spans="1:12">
      <c r="A66" s="124">
        <v>65</v>
      </c>
      <c r="B66" s="124" t="s">
        <v>195</v>
      </c>
      <c r="C66" s="124" t="s">
        <v>194</v>
      </c>
      <c r="D66" s="124" t="s">
        <v>193</v>
      </c>
      <c r="E66" s="125">
        <v>34364</v>
      </c>
      <c r="F66" s="124" t="s">
        <v>114</v>
      </c>
      <c r="G66" s="126">
        <v>35</v>
      </c>
      <c r="H66" s="127">
        <v>39</v>
      </c>
      <c r="I66" s="127">
        <f t="shared" ref="I66:I95" si="3">G66*H66</f>
        <v>1365</v>
      </c>
      <c r="J66" s="152" t="str">
        <f t="shared" si="1"/>
        <v>Lindsey Winger</v>
      </c>
      <c r="L66" s="153"/>
    </row>
    <row r="67" spans="1:12">
      <c r="A67" s="124">
        <v>66</v>
      </c>
      <c r="B67" s="124" t="s">
        <v>192</v>
      </c>
      <c r="C67" s="124" t="s">
        <v>191</v>
      </c>
      <c r="D67" s="124" t="s">
        <v>190</v>
      </c>
      <c r="E67" s="125">
        <v>33688</v>
      </c>
      <c r="F67" s="124" t="s">
        <v>121</v>
      </c>
      <c r="G67" s="126">
        <v>35.5</v>
      </c>
      <c r="H67" s="127">
        <v>28.3</v>
      </c>
      <c r="I67" s="127">
        <f t="shared" si="3"/>
        <v>1004.65</v>
      </c>
      <c r="J67" s="152" t="str">
        <f t="shared" ref="J67:J95" si="4">CONCATENATE(C67," ",D67)</f>
        <v>Chris Reed</v>
      </c>
      <c r="L67" s="153"/>
    </row>
    <row r="68" spans="1:12">
      <c r="A68" s="124">
        <v>67</v>
      </c>
      <c r="B68" s="124" t="s">
        <v>189</v>
      </c>
      <c r="C68" s="124" t="s">
        <v>188</v>
      </c>
      <c r="D68" s="124" t="s">
        <v>187</v>
      </c>
      <c r="E68" s="125">
        <v>35038</v>
      </c>
      <c r="F68" s="124"/>
      <c r="G68" s="126">
        <v>29.5</v>
      </c>
      <c r="H68" s="127">
        <v>21.5</v>
      </c>
      <c r="I68" s="127">
        <f t="shared" si="3"/>
        <v>634.25</v>
      </c>
      <c r="J68" s="152" t="str">
        <f t="shared" si="4"/>
        <v>Paula Robinson</v>
      </c>
      <c r="L68" s="153"/>
    </row>
    <row r="69" spans="1:12">
      <c r="A69" s="124">
        <v>68</v>
      </c>
      <c r="B69" s="124" t="s">
        <v>186</v>
      </c>
      <c r="C69" s="124" t="s">
        <v>185</v>
      </c>
      <c r="D69" s="124" t="s">
        <v>184</v>
      </c>
      <c r="E69" s="125">
        <v>35715</v>
      </c>
      <c r="F69" s="124" t="s">
        <v>114</v>
      </c>
      <c r="G69" s="126">
        <v>40</v>
      </c>
      <c r="H69" s="127">
        <v>35</v>
      </c>
      <c r="I69" s="127">
        <f t="shared" si="3"/>
        <v>1400</v>
      </c>
      <c r="J69" s="152" t="str">
        <f t="shared" si="4"/>
        <v>William Abel</v>
      </c>
      <c r="L69" s="153"/>
    </row>
    <row r="70" spans="1:12">
      <c r="A70" s="124">
        <v>69</v>
      </c>
      <c r="B70" s="124" t="s">
        <v>183</v>
      </c>
      <c r="C70" s="124" t="s">
        <v>182</v>
      </c>
      <c r="D70" s="124" t="s">
        <v>181</v>
      </c>
      <c r="E70" s="125">
        <v>36231</v>
      </c>
      <c r="F70" s="124" t="s">
        <v>114</v>
      </c>
      <c r="G70" s="126">
        <v>35</v>
      </c>
      <c r="H70" s="127">
        <v>27.1</v>
      </c>
      <c r="I70" s="127">
        <f t="shared" si="3"/>
        <v>948.5</v>
      </c>
      <c r="J70" s="152" t="str">
        <f t="shared" si="4"/>
        <v>Shirley Dandrow</v>
      </c>
      <c r="L70" s="153"/>
    </row>
    <row r="71" spans="1:12">
      <c r="A71" s="124">
        <v>70</v>
      </c>
      <c r="B71" s="124" t="s">
        <v>180</v>
      </c>
      <c r="C71" s="124" t="s">
        <v>179</v>
      </c>
      <c r="D71" s="124" t="s">
        <v>133</v>
      </c>
      <c r="E71" s="125">
        <v>35759</v>
      </c>
      <c r="F71" s="124" t="s">
        <v>106</v>
      </c>
      <c r="G71" s="126">
        <v>42</v>
      </c>
      <c r="H71" s="127">
        <v>39</v>
      </c>
      <c r="I71" s="127">
        <f t="shared" si="3"/>
        <v>1638</v>
      </c>
      <c r="J71" s="152" t="str">
        <f t="shared" si="4"/>
        <v>Kim Smith</v>
      </c>
      <c r="L71" s="153"/>
    </row>
    <row r="72" spans="1:12">
      <c r="A72" s="124">
        <v>71</v>
      </c>
      <c r="B72" s="124" t="s">
        <v>178</v>
      </c>
      <c r="C72" s="124" t="s">
        <v>177</v>
      </c>
      <c r="D72" s="124" t="s">
        <v>176</v>
      </c>
      <c r="E72" s="125">
        <v>36312</v>
      </c>
      <c r="F72" s="124" t="s">
        <v>106</v>
      </c>
      <c r="G72" s="126">
        <v>29.5</v>
      </c>
      <c r="H72" s="127">
        <v>28.3</v>
      </c>
      <c r="I72" s="127">
        <f t="shared" si="3"/>
        <v>834.85</v>
      </c>
      <c r="J72" s="152" t="str">
        <f t="shared" si="4"/>
        <v>Maria Switzer</v>
      </c>
      <c r="L72" s="153"/>
    </row>
    <row r="73" spans="1:12">
      <c r="A73" s="124">
        <v>72</v>
      </c>
      <c r="B73" s="124" t="s">
        <v>175</v>
      </c>
      <c r="C73" s="124" t="s">
        <v>174</v>
      </c>
      <c r="D73" s="124" t="s">
        <v>173</v>
      </c>
      <c r="E73" s="125">
        <v>34609</v>
      </c>
      <c r="F73" s="124" t="s">
        <v>114</v>
      </c>
      <c r="G73" s="126">
        <v>40</v>
      </c>
      <c r="H73" s="127">
        <v>21.5</v>
      </c>
      <c r="I73" s="127">
        <f t="shared" si="3"/>
        <v>860</v>
      </c>
      <c r="J73" s="152" t="str">
        <f t="shared" si="4"/>
        <v>John Jacobs</v>
      </c>
      <c r="L73" s="153"/>
    </row>
    <row r="74" spans="1:12">
      <c r="A74" s="124">
        <v>73</v>
      </c>
      <c r="B74" s="124" t="s">
        <v>172</v>
      </c>
      <c r="C74" s="124" t="s">
        <v>171</v>
      </c>
      <c r="D74" s="124" t="s">
        <v>170</v>
      </c>
      <c r="E74" s="125">
        <v>33646</v>
      </c>
      <c r="F74" s="124" t="s">
        <v>114</v>
      </c>
      <c r="G74" s="126">
        <v>40</v>
      </c>
      <c r="H74" s="127">
        <v>22.22</v>
      </c>
      <c r="I74" s="127">
        <f t="shared" si="3"/>
        <v>888.8</v>
      </c>
      <c r="J74" s="152" t="str">
        <f t="shared" si="4"/>
        <v>Bradley Howard</v>
      </c>
      <c r="L74" s="153"/>
    </row>
    <row r="75" spans="1:12">
      <c r="A75" s="124">
        <v>74</v>
      </c>
      <c r="B75" s="124" t="s">
        <v>169</v>
      </c>
      <c r="C75" s="124" t="s">
        <v>168</v>
      </c>
      <c r="D75" s="124" t="s">
        <v>107</v>
      </c>
      <c r="E75" s="125">
        <v>32919</v>
      </c>
      <c r="F75" s="124" t="s">
        <v>110</v>
      </c>
      <c r="G75" s="126">
        <v>40</v>
      </c>
      <c r="H75" s="127">
        <v>27.1</v>
      </c>
      <c r="I75" s="127">
        <f t="shared" si="3"/>
        <v>1084</v>
      </c>
      <c r="J75" s="152" t="str">
        <f t="shared" si="4"/>
        <v>Frieda Binga</v>
      </c>
      <c r="L75" s="153"/>
    </row>
    <row r="76" spans="1:12">
      <c r="A76" s="124">
        <v>75</v>
      </c>
      <c r="B76" s="124" t="s">
        <v>167</v>
      </c>
      <c r="C76" s="124" t="s">
        <v>166</v>
      </c>
      <c r="D76" s="124" t="s">
        <v>165</v>
      </c>
      <c r="E76" s="125">
        <v>33831</v>
      </c>
      <c r="F76" s="124" t="s">
        <v>121</v>
      </c>
      <c r="G76" s="126">
        <v>29.5</v>
      </c>
      <c r="H76" s="127">
        <v>31.75</v>
      </c>
      <c r="I76" s="127">
        <f t="shared" si="3"/>
        <v>936.625</v>
      </c>
      <c r="J76" s="152" t="str">
        <f t="shared" si="4"/>
        <v>Holly Taylor</v>
      </c>
      <c r="L76" s="153"/>
    </row>
    <row r="77" spans="1:12">
      <c r="A77" s="124">
        <v>76</v>
      </c>
      <c r="B77" s="124" t="s">
        <v>164</v>
      </c>
      <c r="C77" s="124" t="s">
        <v>163</v>
      </c>
      <c r="D77" s="124" t="s">
        <v>162</v>
      </c>
      <c r="E77" s="125">
        <v>35728</v>
      </c>
      <c r="F77" s="124" t="s">
        <v>110</v>
      </c>
      <c r="G77" s="126">
        <v>40</v>
      </c>
      <c r="H77" s="127">
        <v>21.5</v>
      </c>
      <c r="I77" s="127">
        <f t="shared" si="3"/>
        <v>860</v>
      </c>
      <c r="J77" s="152" t="str">
        <f t="shared" si="4"/>
        <v>Tim Barthoff</v>
      </c>
      <c r="L77" s="153"/>
    </row>
    <row r="78" spans="1:12">
      <c r="A78" s="124">
        <v>77</v>
      </c>
      <c r="B78" s="124" t="s">
        <v>161</v>
      </c>
      <c r="C78" s="124" t="s">
        <v>160</v>
      </c>
      <c r="D78" s="124" t="s">
        <v>159</v>
      </c>
      <c r="E78" s="125">
        <v>34679</v>
      </c>
      <c r="F78" s="124" t="s">
        <v>110</v>
      </c>
      <c r="G78" s="126">
        <v>40</v>
      </c>
      <c r="H78" s="127">
        <v>34.5</v>
      </c>
      <c r="I78" s="127">
        <f t="shared" si="3"/>
        <v>1380</v>
      </c>
      <c r="J78" s="152" t="str">
        <f t="shared" si="4"/>
        <v>Esther Williams</v>
      </c>
      <c r="L78" s="153"/>
    </row>
    <row r="79" spans="1:12">
      <c r="A79" s="124">
        <v>78</v>
      </c>
      <c r="B79" s="124" t="s">
        <v>158</v>
      </c>
      <c r="C79" s="124" t="s">
        <v>157</v>
      </c>
      <c r="D79" s="124" t="s">
        <v>156</v>
      </c>
      <c r="E79" s="125">
        <v>36221</v>
      </c>
      <c r="F79" s="124" t="s">
        <v>155</v>
      </c>
      <c r="G79" s="126">
        <v>40</v>
      </c>
      <c r="H79" s="127">
        <v>48</v>
      </c>
      <c r="I79" s="127">
        <f t="shared" si="3"/>
        <v>1920</v>
      </c>
      <c r="J79" s="152" t="str">
        <f t="shared" si="4"/>
        <v>Theresa Miller</v>
      </c>
      <c r="L79" s="153"/>
    </row>
    <row r="80" spans="1:12">
      <c r="A80" s="124">
        <v>79</v>
      </c>
      <c r="B80" s="124" t="s">
        <v>154</v>
      </c>
      <c r="C80" s="124" t="s">
        <v>153</v>
      </c>
      <c r="D80" s="124" t="s">
        <v>152</v>
      </c>
      <c r="E80" s="125">
        <v>34171</v>
      </c>
      <c r="F80" s="124"/>
      <c r="G80" s="126">
        <v>40</v>
      </c>
      <c r="H80" s="127">
        <v>30</v>
      </c>
      <c r="I80" s="127">
        <f t="shared" si="3"/>
        <v>1200</v>
      </c>
      <c r="J80" s="152" t="str">
        <f t="shared" si="4"/>
        <v>Marianne Calvin</v>
      </c>
      <c r="L80" s="153"/>
    </row>
    <row r="81" spans="1:12">
      <c r="A81" s="124">
        <v>80</v>
      </c>
      <c r="B81" s="124" t="s">
        <v>151</v>
      </c>
      <c r="C81" s="124"/>
      <c r="D81" s="124"/>
      <c r="E81" s="125"/>
      <c r="F81" s="124" t="s">
        <v>125</v>
      </c>
      <c r="G81" s="126">
        <v>40</v>
      </c>
      <c r="H81" s="127">
        <v>21.5</v>
      </c>
      <c r="I81" s="127">
        <f t="shared" si="3"/>
        <v>860</v>
      </c>
      <c r="J81" s="152" t="str">
        <f t="shared" si="4"/>
        <v xml:space="preserve"> </v>
      </c>
      <c r="L81" s="153"/>
    </row>
    <row r="82" spans="1:12">
      <c r="A82" s="124">
        <v>81</v>
      </c>
      <c r="B82" s="124" t="s">
        <v>150</v>
      </c>
      <c r="C82" s="124" t="s">
        <v>149</v>
      </c>
      <c r="D82" s="124" t="s">
        <v>148</v>
      </c>
      <c r="E82" s="125">
        <v>33908</v>
      </c>
      <c r="F82" s="124" t="s">
        <v>129</v>
      </c>
      <c r="G82" s="126">
        <v>40</v>
      </c>
      <c r="H82" s="127">
        <v>30.5</v>
      </c>
      <c r="I82" s="127">
        <f t="shared" si="3"/>
        <v>1220</v>
      </c>
      <c r="J82" s="152" t="str">
        <f t="shared" si="4"/>
        <v>Grace Sloan</v>
      </c>
      <c r="L82" s="153"/>
    </row>
    <row r="83" spans="1:12">
      <c r="A83" s="124">
        <v>82</v>
      </c>
      <c r="B83" s="124" t="s">
        <v>147</v>
      </c>
      <c r="C83" s="124" t="s">
        <v>146</v>
      </c>
      <c r="D83" s="124" t="s">
        <v>145</v>
      </c>
      <c r="E83" s="125">
        <v>35451</v>
      </c>
      <c r="F83" s="124"/>
      <c r="G83" s="126">
        <v>29.5</v>
      </c>
      <c r="H83" s="127">
        <v>30</v>
      </c>
      <c r="I83" s="127">
        <f t="shared" si="3"/>
        <v>885</v>
      </c>
      <c r="J83" s="152" t="str">
        <f t="shared" si="4"/>
        <v>Richard Gibbs</v>
      </c>
      <c r="L83" s="153"/>
    </row>
    <row r="84" spans="1:12">
      <c r="A84" s="124">
        <v>83</v>
      </c>
      <c r="B84" s="124" t="s">
        <v>144</v>
      </c>
      <c r="C84" s="124" t="s">
        <v>143</v>
      </c>
      <c r="D84" s="124" t="s">
        <v>142</v>
      </c>
      <c r="E84" s="125">
        <v>32568</v>
      </c>
      <c r="F84" s="124" t="s">
        <v>129</v>
      </c>
      <c r="G84" s="126">
        <v>15.5</v>
      </c>
      <c r="H84" s="127">
        <v>27.6</v>
      </c>
      <c r="I84" s="127">
        <f t="shared" si="3"/>
        <v>427.8</v>
      </c>
      <c r="J84" s="152" t="str">
        <f t="shared" si="4"/>
        <v>Lorrie Sullivan</v>
      </c>
      <c r="L84" s="153"/>
    </row>
    <row r="85" spans="1:12">
      <c r="A85" s="124">
        <v>84</v>
      </c>
      <c r="B85" s="124" t="s">
        <v>141</v>
      </c>
      <c r="C85" s="124" t="s">
        <v>140</v>
      </c>
      <c r="D85" s="124" t="s">
        <v>139</v>
      </c>
      <c r="E85" s="125">
        <v>34673</v>
      </c>
      <c r="F85" s="124" t="s">
        <v>110</v>
      </c>
      <c r="G85" s="126">
        <v>32</v>
      </c>
      <c r="H85" s="127">
        <v>23.75</v>
      </c>
      <c r="I85" s="127">
        <f t="shared" si="3"/>
        <v>760</v>
      </c>
      <c r="J85" s="152" t="str">
        <f t="shared" si="4"/>
        <v>Ted Hayes</v>
      </c>
      <c r="L85" s="153"/>
    </row>
    <row r="86" spans="1:12">
      <c r="A86" s="124">
        <v>85</v>
      </c>
      <c r="B86" s="124" t="s">
        <v>138</v>
      </c>
      <c r="C86" s="124" t="s">
        <v>137</v>
      </c>
      <c r="D86" s="124" t="s">
        <v>136</v>
      </c>
      <c r="E86" s="125">
        <v>35916</v>
      </c>
      <c r="F86" s="124"/>
      <c r="G86" s="126">
        <v>42</v>
      </c>
      <c r="H86" s="127">
        <v>30.5</v>
      </c>
      <c r="I86" s="127">
        <f t="shared" si="3"/>
        <v>1281</v>
      </c>
      <c r="J86" s="152" t="str">
        <f t="shared" si="4"/>
        <v>Helen Stewart</v>
      </c>
      <c r="L86" s="153"/>
    </row>
    <row r="87" spans="1:12">
      <c r="A87" s="124">
        <v>86</v>
      </c>
      <c r="B87" s="124" t="s">
        <v>135</v>
      </c>
      <c r="C87" s="124" t="s">
        <v>134</v>
      </c>
      <c r="D87" s="124" t="s">
        <v>133</v>
      </c>
      <c r="E87" s="125">
        <v>34610</v>
      </c>
      <c r="F87" s="124" t="s">
        <v>129</v>
      </c>
      <c r="G87" s="126">
        <v>40</v>
      </c>
      <c r="H87" s="127">
        <v>30</v>
      </c>
      <c r="I87" s="127">
        <f t="shared" si="3"/>
        <v>1200</v>
      </c>
      <c r="J87" s="152" t="str">
        <f t="shared" si="4"/>
        <v>Katie Smith</v>
      </c>
      <c r="L87" s="153"/>
    </row>
    <row r="88" spans="1:12">
      <c r="A88" s="124">
        <v>87</v>
      </c>
      <c r="B88" s="124" t="s">
        <v>132</v>
      </c>
      <c r="C88" s="124" t="s">
        <v>131</v>
      </c>
      <c r="D88" s="124" t="s">
        <v>130</v>
      </c>
      <c r="E88" s="125">
        <v>35739</v>
      </c>
      <c r="F88" s="124" t="s">
        <v>129</v>
      </c>
      <c r="G88" s="126">
        <v>35</v>
      </c>
      <c r="H88" s="127">
        <v>60</v>
      </c>
      <c r="I88" s="127">
        <f t="shared" si="3"/>
        <v>2100</v>
      </c>
      <c r="J88" s="152" t="str">
        <f t="shared" si="4"/>
        <v>Jane Winters</v>
      </c>
    </row>
    <row r="89" spans="1:12">
      <c r="A89" s="124">
        <v>88</v>
      </c>
      <c r="B89" s="124" t="s">
        <v>128</v>
      </c>
      <c r="C89" s="124" t="s">
        <v>127</v>
      </c>
      <c r="D89" s="124" t="s">
        <v>126</v>
      </c>
      <c r="E89" s="125">
        <v>31884</v>
      </c>
      <c r="F89" s="124" t="s">
        <v>125</v>
      </c>
      <c r="G89" s="126">
        <v>40</v>
      </c>
      <c r="H89" s="127">
        <v>21.5</v>
      </c>
      <c r="I89" s="127">
        <f t="shared" si="3"/>
        <v>860</v>
      </c>
      <c r="J89" s="152" t="str">
        <f t="shared" si="4"/>
        <v>Paul Martin</v>
      </c>
    </row>
    <row r="90" spans="1:12">
      <c r="A90" s="124">
        <v>89</v>
      </c>
      <c r="B90" s="124" t="s">
        <v>124</v>
      </c>
      <c r="C90" s="124" t="s">
        <v>123</v>
      </c>
      <c r="D90" s="124" t="s">
        <v>122</v>
      </c>
      <c r="E90" s="125">
        <v>34879</v>
      </c>
      <c r="F90" s="124" t="s">
        <v>121</v>
      </c>
      <c r="G90" s="126">
        <v>40</v>
      </c>
      <c r="H90" s="127">
        <v>21.5</v>
      </c>
      <c r="I90" s="127">
        <f t="shared" si="3"/>
        <v>860</v>
      </c>
      <c r="J90" s="152" t="str">
        <f t="shared" si="4"/>
        <v>Geoff Brown</v>
      </c>
    </row>
    <row r="91" spans="1:12">
      <c r="A91" s="124">
        <v>90</v>
      </c>
      <c r="B91" s="124" t="s">
        <v>120</v>
      </c>
      <c r="C91" s="124" t="s">
        <v>119</v>
      </c>
      <c r="D91" s="124" t="s">
        <v>118</v>
      </c>
      <c r="E91" s="125">
        <v>34758</v>
      </c>
      <c r="F91" s="124" t="s">
        <v>106</v>
      </c>
      <c r="G91" s="126">
        <v>15.5</v>
      </c>
      <c r="H91" s="127">
        <v>20.5</v>
      </c>
      <c r="I91" s="127">
        <f t="shared" si="3"/>
        <v>317.75</v>
      </c>
      <c r="J91" s="152" t="str">
        <f t="shared" si="4"/>
        <v>Alice Owens</v>
      </c>
    </row>
    <row r="92" spans="1:12">
      <c r="A92" s="124">
        <v>91</v>
      </c>
      <c r="B92" s="124" t="s">
        <v>117</v>
      </c>
      <c r="C92" s="124" t="s">
        <v>116</v>
      </c>
      <c r="D92" s="124" t="s">
        <v>115</v>
      </c>
      <c r="E92" s="125">
        <v>35055</v>
      </c>
      <c r="F92" s="124" t="s">
        <v>114</v>
      </c>
      <c r="G92" s="126">
        <v>40</v>
      </c>
      <c r="H92" s="127">
        <v>31.75</v>
      </c>
      <c r="I92" s="127">
        <f t="shared" si="3"/>
        <v>1270</v>
      </c>
      <c r="J92" s="152" t="str">
        <f t="shared" si="4"/>
        <v>Greg Thomas</v>
      </c>
    </row>
    <row r="93" spans="1:12">
      <c r="A93" s="124">
        <v>92</v>
      </c>
      <c r="B93" s="124" t="s">
        <v>113</v>
      </c>
      <c r="C93" s="124" t="s">
        <v>112</v>
      </c>
      <c r="D93" s="124" t="s">
        <v>111</v>
      </c>
      <c r="E93" s="125">
        <v>33568</v>
      </c>
      <c r="F93" s="124" t="s">
        <v>110</v>
      </c>
      <c r="G93" s="126">
        <v>40</v>
      </c>
      <c r="H93" s="127">
        <v>22.22</v>
      </c>
      <c r="I93" s="127">
        <f t="shared" si="3"/>
        <v>888.8</v>
      </c>
      <c r="J93" s="152" t="str">
        <f t="shared" si="4"/>
        <v>Sam Whitney</v>
      </c>
    </row>
    <row r="94" spans="1:12">
      <c r="A94" s="124">
        <v>93</v>
      </c>
      <c r="B94" s="124" t="s">
        <v>109</v>
      </c>
      <c r="C94" s="124" t="s">
        <v>108</v>
      </c>
      <c r="D94" s="124" t="s">
        <v>107</v>
      </c>
      <c r="E94" s="125">
        <v>36256</v>
      </c>
      <c r="F94" s="124" t="s">
        <v>106</v>
      </c>
      <c r="G94" s="126">
        <v>40</v>
      </c>
      <c r="H94" s="127">
        <v>47</v>
      </c>
      <c r="I94" s="127">
        <f t="shared" si="3"/>
        <v>1880</v>
      </c>
      <c r="J94" s="152" t="str">
        <f t="shared" si="4"/>
        <v>Erin Binga</v>
      </c>
    </row>
    <row r="95" spans="1:12">
      <c r="A95" s="124">
        <v>94</v>
      </c>
      <c r="B95" s="124" t="s">
        <v>105</v>
      </c>
      <c r="C95" s="124" t="s">
        <v>104</v>
      </c>
      <c r="D95" s="124" t="s">
        <v>103</v>
      </c>
      <c r="E95" s="125">
        <v>36037</v>
      </c>
      <c r="F95" s="124"/>
      <c r="G95" s="126">
        <v>15.5</v>
      </c>
      <c r="H95" s="127">
        <v>21.5</v>
      </c>
      <c r="I95" s="127">
        <f t="shared" si="3"/>
        <v>333.25</v>
      </c>
      <c r="J95" s="152" t="str">
        <f t="shared" si="4"/>
        <v>Amy Tooley</v>
      </c>
    </row>
  </sheetData>
  <protectedRanges>
    <protectedRange password="CF7A" sqref="G2:G95" name="Range1"/>
  </protectedRanges>
  <autoFilter ref="A1:J95" xr:uid="{00000000-0001-0000-1200-000000000000}"/>
  <customSheetViews>
    <customSheetView guid="{BBE43EB8-AC5B-419E-90E4-72D0C525AF66}">
      <selection activeCell="H13" sqref="H13"/>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dimension ref="B1:F6"/>
  <sheetViews>
    <sheetView zoomScale="120" zoomScaleNormal="120" workbookViewId="0">
      <selection activeCell="C6" sqref="C6"/>
    </sheetView>
  </sheetViews>
  <sheetFormatPr defaultColWidth="8.88671875" defaultRowHeight="15.75"/>
  <cols>
    <col min="1" max="1" width="8.88671875" style="156"/>
    <col min="2" max="2" width="17.5546875" style="156" customWidth="1"/>
    <col min="3" max="3" width="14" style="159" customWidth="1"/>
    <col min="4" max="4" width="16.88671875" style="156" bestFit="1" customWidth="1"/>
    <col min="5" max="16384" width="8.88671875" style="156"/>
  </cols>
  <sheetData>
    <row r="1" spans="2:6">
      <c r="B1" s="154" t="s">
        <v>382</v>
      </c>
      <c r="C1" s="155">
        <v>1123875.9601556004</v>
      </c>
    </row>
    <row r="2" spans="2:6">
      <c r="B2" s="154" t="s">
        <v>381</v>
      </c>
      <c r="C2" s="157">
        <v>0.12</v>
      </c>
    </row>
    <row r="3" spans="2:6">
      <c r="B3" s="154" t="s">
        <v>380</v>
      </c>
      <c r="C3" s="158">
        <v>60</v>
      </c>
    </row>
    <row r="4" spans="2:6">
      <c r="E4" s="5"/>
      <c r="F4" s="4"/>
    </row>
    <row r="5" spans="2:6">
      <c r="D5" s="5"/>
      <c r="F5" s="4"/>
    </row>
    <row r="6" spans="2:6">
      <c r="B6" s="154" t="s">
        <v>379</v>
      </c>
      <c r="C6" s="160">
        <f>PMT(C2/12,C3,-C1)</f>
        <v>25000.000000000004</v>
      </c>
      <c r="D6" s="5"/>
      <c r="E6" s="5"/>
      <c r="F6" s="4"/>
    </row>
  </sheetData>
  <customSheetViews>
    <customSheetView guid="{BBE43EB8-AC5B-419E-90E4-72D0C525AF66}">
      <selection activeCell="D21" sqref="D21"/>
      <pageMargins left="0.7" right="0.7" top="0.75" bottom="0.75" header="0.3" footer="0.3"/>
    </customSheetView>
  </customSheetView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
  <dimension ref="A1:W22"/>
  <sheetViews>
    <sheetView topLeftCell="F1" zoomScale="110" zoomScaleNormal="110" workbookViewId="0">
      <selection activeCell="H12" sqref="H12"/>
    </sheetView>
  </sheetViews>
  <sheetFormatPr defaultColWidth="6.21875" defaultRowHeight="15"/>
  <cols>
    <col min="1" max="1" width="10.21875" style="163" customWidth="1"/>
    <col min="2" max="2" width="10.109375" style="163" customWidth="1"/>
    <col min="3" max="3" width="8.33203125" style="163" customWidth="1"/>
    <col min="4" max="4" width="10.109375" style="163" customWidth="1"/>
    <col min="5" max="5" width="15" style="163" bestFit="1" customWidth="1"/>
    <col min="6" max="6" width="29.5546875" style="163" bestFit="1" customWidth="1"/>
    <col min="7" max="7" width="9.21875" style="163" customWidth="1"/>
    <col min="8" max="8" width="11.88671875" style="163" customWidth="1"/>
    <col min="9" max="9" width="11.21875" style="163" customWidth="1"/>
    <col min="10" max="10" width="10.21875" style="163" bestFit="1" customWidth="1"/>
    <col min="11" max="11" width="6.21875" style="163"/>
    <col min="12" max="12" width="9.109375" style="163" bestFit="1" customWidth="1"/>
    <col min="13" max="13" width="6.5546875" style="163" bestFit="1" customWidth="1"/>
    <col min="14" max="14" width="7.33203125" style="163" bestFit="1" customWidth="1"/>
    <col min="15" max="15" width="6.33203125" style="163" bestFit="1" customWidth="1"/>
    <col min="16" max="21" width="6.6640625" style="163" bestFit="1" customWidth="1"/>
    <col min="22" max="22" width="7.77734375" style="163" bestFit="1" customWidth="1"/>
    <col min="23" max="23" width="6.6640625" style="163" bestFit="1" customWidth="1"/>
    <col min="24" max="16384" width="6.21875" style="163"/>
  </cols>
  <sheetData>
    <row r="1" spans="1:23" ht="15.75">
      <c r="A1" s="215" t="s">
        <v>405</v>
      </c>
      <c r="B1" s="215" t="s">
        <v>404</v>
      </c>
      <c r="C1" s="215" t="s">
        <v>403</v>
      </c>
      <c r="D1" s="215" t="s">
        <v>402</v>
      </c>
      <c r="G1" s="215" t="s">
        <v>401</v>
      </c>
      <c r="H1" s="215" t="s">
        <v>400</v>
      </c>
      <c r="I1" s="215" t="s">
        <v>399</v>
      </c>
      <c r="J1" s="166"/>
      <c r="K1" s="44"/>
      <c r="L1" s="40"/>
      <c r="O1" s="117"/>
      <c r="P1" s="117"/>
      <c r="Q1" s="117"/>
      <c r="R1" s="117"/>
      <c r="S1" s="117"/>
      <c r="T1" s="117"/>
      <c r="U1" s="117"/>
      <c r="V1" s="117"/>
      <c r="W1" s="117"/>
    </row>
    <row r="2" spans="1:23">
      <c r="A2" s="216">
        <v>100</v>
      </c>
      <c r="B2" s="216">
        <v>1000</v>
      </c>
      <c r="C2" s="216">
        <v>5.5</v>
      </c>
      <c r="D2" s="216">
        <f>(B2*C2)</f>
        <v>5500</v>
      </c>
      <c r="E2" s="163">
        <f>PRODUCT(B2,C2)</f>
        <v>5500</v>
      </c>
      <c r="F2" s="163">
        <f t="shared" ref="F2:F21" si="0">B2*C2</f>
        <v>5500</v>
      </c>
      <c r="G2" s="169" t="s">
        <v>392</v>
      </c>
      <c r="H2" s="169">
        <v>72</v>
      </c>
      <c r="I2" s="169">
        <v>52</v>
      </c>
      <c r="J2" s="166">
        <f>H2*I2</f>
        <v>3744</v>
      </c>
      <c r="K2" s="166"/>
      <c r="L2" s="167"/>
      <c r="O2" s="117"/>
      <c r="P2" s="117"/>
      <c r="Q2" s="117"/>
      <c r="R2" s="117"/>
      <c r="S2" s="117"/>
      <c r="T2" s="117"/>
      <c r="U2" s="117"/>
      <c r="V2" s="117"/>
      <c r="W2" s="117"/>
    </row>
    <row r="3" spans="1:23">
      <c r="A3" s="216">
        <v>101</v>
      </c>
      <c r="B3" s="216">
        <v>1200</v>
      </c>
      <c r="C3" s="216">
        <v>6.75</v>
      </c>
      <c r="D3" s="216">
        <f t="shared" ref="D3:D21" si="1">(B3*C3)</f>
        <v>8100</v>
      </c>
      <c r="E3" s="163">
        <f t="shared" ref="E3:E21" si="2">PRODUCT(B3,C3)</f>
        <v>8100</v>
      </c>
      <c r="F3" s="163">
        <f t="shared" si="0"/>
        <v>8100</v>
      </c>
      <c r="G3" s="169" t="s">
        <v>391</v>
      </c>
      <c r="H3" s="169">
        <v>20</v>
      </c>
      <c r="I3" s="169">
        <v>12</v>
      </c>
      <c r="J3" s="166">
        <f t="shared" ref="J3:J10" si="3">H3*I3</f>
        <v>240</v>
      </c>
      <c r="K3" s="166"/>
      <c r="L3" s="44"/>
      <c r="O3" s="117"/>
      <c r="P3" s="117"/>
      <c r="Q3" s="117"/>
      <c r="R3" s="117"/>
      <c r="S3" s="117"/>
      <c r="T3" s="117"/>
      <c r="U3" s="117"/>
      <c r="V3" s="117"/>
      <c r="W3" s="117"/>
    </row>
    <row r="4" spans="1:23">
      <c r="A4" s="216">
        <v>102</v>
      </c>
      <c r="B4" s="216">
        <v>1300</v>
      </c>
      <c r="C4" s="216">
        <v>2</v>
      </c>
      <c r="D4" s="216">
        <f t="shared" si="1"/>
        <v>2600</v>
      </c>
      <c r="E4" s="163">
        <f t="shared" si="2"/>
        <v>2600</v>
      </c>
      <c r="F4" s="163">
        <f t="shared" si="0"/>
        <v>2600</v>
      </c>
      <c r="G4" s="169" t="s">
        <v>390</v>
      </c>
      <c r="H4" s="169">
        <v>22</v>
      </c>
      <c r="I4" s="169">
        <v>42</v>
      </c>
      <c r="J4" s="166">
        <f t="shared" si="3"/>
        <v>924</v>
      </c>
      <c r="K4" s="166"/>
      <c r="L4" s="44"/>
      <c r="O4" s="117"/>
      <c r="P4" s="117"/>
      <c r="Q4" s="117"/>
      <c r="R4" s="117"/>
      <c r="S4" s="117"/>
      <c r="T4" s="117"/>
      <c r="U4" s="117"/>
      <c r="V4" s="117"/>
      <c r="W4" s="117"/>
    </row>
    <row r="5" spans="1:23">
      <c r="A5" s="216">
        <v>103</v>
      </c>
      <c r="B5" s="216">
        <v>800</v>
      </c>
      <c r="C5" s="216">
        <v>4</v>
      </c>
      <c r="D5" s="216">
        <f t="shared" si="1"/>
        <v>3200</v>
      </c>
      <c r="E5" s="163">
        <f t="shared" si="2"/>
        <v>3200</v>
      </c>
      <c r="F5" s="163">
        <f t="shared" si="0"/>
        <v>3200</v>
      </c>
      <c r="G5" s="169" t="s">
        <v>389</v>
      </c>
      <c r="H5" s="169">
        <v>64</v>
      </c>
      <c r="I5" s="169">
        <v>39</v>
      </c>
      <c r="J5" s="166">
        <f t="shared" si="3"/>
        <v>2496</v>
      </c>
      <c r="K5" s="166"/>
      <c r="L5" s="44"/>
    </row>
    <row r="6" spans="1:23">
      <c r="A6" s="216">
        <v>104</v>
      </c>
      <c r="B6" s="216">
        <v>1200</v>
      </c>
      <c r="C6" s="216">
        <v>5</v>
      </c>
      <c r="D6" s="216">
        <f t="shared" si="1"/>
        <v>6000</v>
      </c>
      <c r="E6" s="163">
        <f t="shared" si="2"/>
        <v>6000</v>
      </c>
      <c r="F6" s="163">
        <f t="shared" si="0"/>
        <v>6000</v>
      </c>
      <c r="G6" s="169" t="s">
        <v>388</v>
      </c>
      <c r="H6" s="169">
        <v>40</v>
      </c>
      <c r="I6" s="169">
        <v>45</v>
      </c>
      <c r="J6" s="166">
        <f t="shared" si="3"/>
        <v>1800</v>
      </c>
      <c r="K6" s="166"/>
      <c r="L6" s="44"/>
    </row>
    <row r="7" spans="1:23">
      <c r="A7" s="216">
        <v>105</v>
      </c>
      <c r="B7" s="216">
        <v>1800</v>
      </c>
      <c r="C7" s="216">
        <v>0.5</v>
      </c>
      <c r="D7" s="216">
        <f t="shared" si="1"/>
        <v>900</v>
      </c>
      <c r="E7" s="163">
        <f t="shared" si="2"/>
        <v>900</v>
      </c>
      <c r="F7" s="163">
        <f t="shared" si="0"/>
        <v>900</v>
      </c>
      <c r="G7" s="169" t="s">
        <v>387</v>
      </c>
      <c r="H7" s="169">
        <v>70</v>
      </c>
      <c r="I7" s="169">
        <v>16</v>
      </c>
      <c r="J7" s="166">
        <f t="shared" si="3"/>
        <v>1120</v>
      </c>
      <c r="K7" s="166"/>
      <c r="L7" s="44"/>
    </row>
    <row r="8" spans="1:23">
      <c r="A8" s="216">
        <v>106</v>
      </c>
      <c r="B8" s="216">
        <v>145</v>
      </c>
      <c r="C8" s="216">
        <v>2</v>
      </c>
      <c r="D8" s="216">
        <f t="shared" si="1"/>
        <v>290</v>
      </c>
      <c r="E8" s="163">
        <f t="shared" si="2"/>
        <v>290</v>
      </c>
      <c r="F8" s="163">
        <f t="shared" si="0"/>
        <v>290</v>
      </c>
      <c r="G8" s="169" t="s">
        <v>386</v>
      </c>
      <c r="H8" s="169">
        <v>90</v>
      </c>
      <c r="I8" s="169">
        <v>10</v>
      </c>
      <c r="J8" s="166">
        <f t="shared" si="3"/>
        <v>900</v>
      </c>
      <c r="K8" s="166"/>
      <c r="L8" s="44"/>
    </row>
    <row r="9" spans="1:23">
      <c r="A9" s="216">
        <v>107</v>
      </c>
      <c r="B9" s="216">
        <v>1900</v>
      </c>
      <c r="C9" s="216">
        <v>3.5</v>
      </c>
      <c r="D9" s="216">
        <f t="shared" si="1"/>
        <v>6650</v>
      </c>
      <c r="E9" s="163">
        <f t="shared" si="2"/>
        <v>6650</v>
      </c>
      <c r="F9" s="163">
        <f t="shared" si="0"/>
        <v>6650</v>
      </c>
      <c r="G9" s="169" t="s">
        <v>385</v>
      </c>
      <c r="H9" s="169">
        <v>30</v>
      </c>
      <c r="I9" s="169">
        <v>42</v>
      </c>
      <c r="J9" s="166">
        <f t="shared" si="3"/>
        <v>1260</v>
      </c>
      <c r="K9" s="166"/>
      <c r="L9" s="44"/>
    </row>
    <row r="10" spans="1:23">
      <c r="A10" s="216">
        <v>108</v>
      </c>
      <c r="B10" s="216">
        <v>1550</v>
      </c>
      <c r="C10" s="216">
        <v>2.25</v>
      </c>
      <c r="D10" s="216">
        <f t="shared" si="1"/>
        <v>3487.5</v>
      </c>
      <c r="E10" s="163">
        <f t="shared" si="2"/>
        <v>3487.5</v>
      </c>
      <c r="F10" s="163">
        <f t="shared" si="0"/>
        <v>3487.5</v>
      </c>
      <c r="G10" s="169" t="s">
        <v>384</v>
      </c>
      <c r="H10" s="169">
        <v>34</v>
      </c>
      <c r="I10" s="169">
        <v>42</v>
      </c>
      <c r="J10" s="166">
        <f t="shared" si="3"/>
        <v>1428</v>
      </c>
      <c r="K10" s="166"/>
      <c r="L10" s="44"/>
    </row>
    <row r="11" spans="1:23" ht="15.75">
      <c r="A11" s="216">
        <v>109</v>
      </c>
      <c r="B11" s="216">
        <v>2000</v>
      </c>
      <c r="C11" s="216">
        <v>2</v>
      </c>
      <c r="D11" s="216">
        <f t="shared" si="1"/>
        <v>4000</v>
      </c>
      <c r="E11" s="163">
        <f t="shared" si="2"/>
        <v>4000</v>
      </c>
      <c r="F11" s="163">
        <f t="shared" si="0"/>
        <v>4000</v>
      </c>
      <c r="G11" s="168" t="s">
        <v>383</v>
      </c>
      <c r="H11" s="304">
        <f>SUMPRODUCT(H2:H10,I2:I10)</f>
        <v>13912</v>
      </c>
      <c r="I11" s="305"/>
      <c r="J11" s="166">
        <f>SUM(J2:J10)</f>
        <v>13912</v>
      </c>
      <c r="K11" s="44"/>
      <c r="L11" s="44"/>
    </row>
    <row r="12" spans="1:23" ht="15.75">
      <c r="A12" s="216">
        <v>110</v>
      </c>
      <c r="B12" s="216">
        <v>2200</v>
      </c>
      <c r="C12" s="216">
        <v>3</v>
      </c>
      <c r="D12" s="216">
        <f t="shared" si="1"/>
        <v>6600</v>
      </c>
      <c r="E12" s="163">
        <f t="shared" si="2"/>
        <v>6600</v>
      </c>
      <c r="F12" s="163">
        <f t="shared" si="0"/>
        <v>6600</v>
      </c>
      <c r="G12" s="44"/>
      <c r="H12" s="44"/>
      <c r="I12" s="44"/>
      <c r="J12" s="166"/>
      <c r="K12" s="44"/>
      <c r="L12" s="44"/>
      <c r="M12" s="161"/>
      <c r="N12" s="164"/>
      <c r="O12" s="164"/>
      <c r="P12" s="164"/>
      <c r="Q12" s="164"/>
      <c r="R12" s="164"/>
      <c r="S12" s="164"/>
    </row>
    <row r="13" spans="1:23" ht="15.75">
      <c r="A13" s="216">
        <v>111</v>
      </c>
      <c r="B13" s="216">
        <v>2400</v>
      </c>
      <c r="C13" s="216">
        <v>4</v>
      </c>
      <c r="D13" s="216">
        <f t="shared" si="1"/>
        <v>9600</v>
      </c>
      <c r="E13" s="163">
        <f t="shared" si="2"/>
        <v>9600</v>
      </c>
      <c r="F13" s="163">
        <f t="shared" si="0"/>
        <v>9600</v>
      </c>
      <c r="J13" s="166"/>
      <c r="M13" s="161"/>
      <c r="N13" s="164"/>
      <c r="O13" s="164"/>
      <c r="P13" s="164"/>
      <c r="Q13" s="164"/>
      <c r="R13" s="164"/>
      <c r="S13" s="164"/>
    </row>
    <row r="14" spans="1:23" ht="15.75">
      <c r="A14" s="216">
        <v>112</v>
      </c>
      <c r="B14" s="216">
        <v>2600</v>
      </c>
      <c r="C14" s="216">
        <v>5</v>
      </c>
      <c r="D14" s="216">
        <f t="shared" si="1"/>
        <v>13000</v>
      </c>
      <c r="E14" s="163">
        <f t="shared" si="2"/>
        <v>13000</v>
      </c>
      <c r="F14" s="163">
        <f t="shared" si="0"/>
        <v>13000</v>
      </c>
      <c r="J14" s="166"/>
      <c r="M14" s="161"/>
      <c r="N14" s="164"/>
      <c r="O14" s="164"/>
      <c r="P14" s="164"/>
      <c r="Q14" s="164"/>
      <c r="R14" s="164"/>
      <c r="S14" s="164"/>
    </row>
    <row r="15" spans="1:23" ht="15.75">
      <c r="A15" s="216">
        <v>113</v>
      </c>
      <c r="B15" s="216">
        <v>2800</v>
      </c>
      <c r="C15" s="216">
        <v>6</v>
      </c>
      <c r="D15" s="216">
        <f t="shared" si="1"/>
        <v>16800</v>
      </c>
      <c r="E15" s="163">
        <f t="shared" si="2"/>
        <v>16800</v>
      </c>
      <c r="F15" s="163">
        <f t="shared" si="0"/>
        <v>16800</v>
      </c>
      <c r="J15" s="166"/>
      <c r="M15" s="162"/>
    </row>
    <row r="16" spans="1:23" ht="15.75">
      <c r="A16" s="216">
        <v>114</v>
      </c>
      <c r="B16" s="216">
        <v>3000</v>
      </c>
      <c r="C16" s="216">
        <v>7</v>
      </c>
      <c r="D16" s="216">
        <f t="shared" si="1"/>
        <v>21000</v>
      </c>
      <c r="E16" s="163">
        <f t="shared" si="2"/>
        <v>21000</v>
      </c>
      <c r="F16" s="163">
        <f t="shared" si="0"/>
        <v>21000</v>
      </c>
      <c r="J16" s="166"/>
      <c r="L16" s="40"/>
      <c r="M16" s="44"/>
      <c r="N16" s="44"/>
      <c r="O16" s="44"/>
      <c r="P16" s="44"/>
      <c r="Q16" s="44"/>
      <c r="R16" s="44"/>
      <c r="S16" s="44"/>
      <c r="T16" s="44"/>
      <c r="U16" s="44"/>
    </row>
    <row r="17" spans="1:21" ht="15.75">
      <c r="A17" s="216">
        <v>115</v>
      </c>
      <c r="B17" s="216">
        <v>3200</v>
      </c>
      <c r="C17" s="216">
        <v>8</v>
      </c>
      <c r="D17" s="216">
        <f t="shared" si="1"/>
        <v>25600</v>
      </c>
      <c r="E17" s="163">
        <f t="shared" si="2"/>
        <v>25600</v>
      </c>
      <c r="F17" s="163">
        <f t="shared" si="0"/>
        <v>25600</v>
      </c>
      <c r="J17" s="166"/>
      <c r="L17" s="40"/>
      <c r="M17" s="44"/>
      <c r="N17" s="44"/>
      <c r="O17" s="44"/>
      <c r="P17" s="44"/>
      <c r="Q17" s="44"/>
      <c r="R17" s="44"/>
      <c r="S17" s="44"/>
      <c r="T17" s="44"/>
      <c r="U17" s="44"/>
    </row>
    <row r="18" spans="1:21" ht="15.75">
      <c r="A18" s="216">
        <v>116</v>
      </c>
      <c r="B18" s="216">
        <v>3400</v>
      </c>
      <c r="C18" s="216">
        <v>9</v>
      </c>
      <c r="D18" s="216">
        <f t="shared" si="1"/>
        <v>30600</v>
      </c>
      <c r="E18" s="163">
        <f t="shared" si="2"/>
        <v>30600</v>
      </c>
      <c r="F18" s="163">
        <f t="shared" si="0"/>
        <v>30600</v>
      </c>
      <c r="J18" s="166"/>
      <c r="L18" s="40"/>
      <c r="M18" s="165"/>
      <c r="N18" s="165"/>
      <c r="O18" s="165"/>
      <c r="P18" s="165"/>
      <c r="Q18" s="165"/>
      <c r="R18" s="165"/>
      <c r="S18" s="165"/>
      <c r="T18" s="165"/>
      <c r="U18" s="165"/>
    </row>
    <row r="19" spans="1:21" ht="15.75">
      <c r="A19" s="216">
        <v>117</v>
      </c>
      <c r="B19" s="216">
        <v>3600</v>
      </c>
      <c r="C19" s="216">
        <v>10</v>
      </c>
      <c r="D19" s="216">
        <f t="shared" si="1"/>
        <v>36000</v>
      </c>
      <c r="E19" s="163">
        <f t="shared" si="2"/>
        <v>36000</v>
      </c>
      <c r="F19" s="163">
        <f t="shared" si="0"/>
        <v>36000</v>
      </c>
      <c r="J19" s="166"/>
      <c r="L19" s="40"/>
      <c r="M19" s="166"/>
      <c r="N19" s="166"/>
      <c r="O19" s="166"/>
      <c r="P19" s="166"/>
      <c r="Q19" s="166"/>
      <c r="R19" s="166"/>
      <c r="S19" s="166"/>
      <c r="T19" s="166"/>
      <c r="U19" s="166"/>
    </row>
    <row r="20" spans="1:21">
      <c r="A20" s="216">
        <v>118</v>
      </c>
      <c r="B20" s="216">
        <v>3800</v>
      </c>
      <c r="C20" s="216">
        <v>11</v>
      </c>
      <c r="D20" s="216">
        <f t="shared" si="1"/>
        <v>41800</v>
      </c>
      <c r="E20" s="163">
        <f t="shared" si="2"/>
        <v>41800</v>
      </c>
      <c r="F20" s="163">
        <f t="shared" si="0"/>
        <v>41800</v>
      </c>
      <c r="J20" s="166"/>
    </row>
    <row r="21" spans="1:21">
      <c r="A21" s="216">
        <v>119</v>
      </c>
      <c r="B21" s="216">
        <v>4000</v>
      </c>
      <c r="C21" s="216">
        <v>12</v>
      </c>
      <c r="D21" s="216">
        <f t="shared" si="1"/>
        <v>48000</v>
      </c>
      <c r="E21" s="163">
        <f t="shared" si="2"/>
        <v>48000</v>
      </c>
      <c r="F21" s="163">
        <f t="shared" si="0"/>
        <v>48000</v>
      </c>
      <c r="J21" s="166"/>
    </row>
    <row r="22" spans="1:21">
      <c r="D22" s="216"/>
      <c r="E22" s="163" t="s">
        <v>827</v>
      </c>
      <c r="F22" s="163" t="s">
        <v>826</v>
      </c>
      <c r="J22" s="166"/>
    </row>
  </sheetData>
  <customSheetViews>
    <customSheetView guid="{BBE43EB8-AC5B-419E-90E4-72D0C525AF66}" topLeftCell="C1">
      <pageMargins left="0.7" right="0.7" top="0.75" bottom="0.75" header="0.3" footer="0.3"/>
      <pageSetup orientation="portrait" horizontalDpi="200" verticalDpi="200" r:id="rId1"/>
    </customSheetView>
  </customSheetViews>
  <mergeCells count="1">
    <mergeCell ref="H11:I11"/>
  </mergeCells>
  <pageMargins left="0.7" right="0.7" top="0.75" bottom="0.75" header="0.3" footer="0.3"/>
  <pageSetup orientation="portrait" horizontalDpi="200" verticalDpi="200"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4756D-E1B3-4500-8B30-FF82F56AFE30}">
  <sheetPr codeName="Sheet33"/>
  <dimension ref="A1:R31"/>
  <sheetViews>
    <sheetView topLeftCell="J1" zoomScaleNormal="100" workbookViewId="0">
      <selection activeCell="O23" sqref="O23"/>
    </sheetView>
  </sheetViews>
  <sheetFormatPr defaultColWidth="10.88671875" defaultRowHeight="15"/>
  <cols>
    <col min="1" max="1" width="12.6640625" style="114" bestFit="1" customWidth="1"/>
    <col min="2" max="2" width="13.109375" style="114" bestFit="1" customWidth="1"/>
    <col min="3" max="3" width="9.21875" style="117" bestFit="1" customWidth="1"/>
    <col min="4" max="4" width="10.44140625" style="117" bestFit="1" customWidth="1"/>
    <col min="5" max="5" width="9.33203125" style="114" customWidth="1"/>
    <col min="6" max="6" width="9.77734375" style="114" customWidth="1"/>
    <col min="7" max="7" width="15.88671875" style="114" bestFit="1" customWidth="1"/>
    <col min="8" max="8" width="12.77734375" style="114" customWidth="1"/>
    <col min="9" max="9" width="9.33203125" style="114" customWidth="1"/>
    <col min="10" max="10" width="9.6640625" style="117" bestFit="1" customWidth="1"/>
    <col min="11" max="11" width="10.88671875" style="114"/>
    <col min="12" max="12" width="14.44140625" style="114" customWidth="1"/>
    <col min="13" max="13" width="13.77734375" style="114" customWidth="1"/>
    <col min="14" max="14" width="17.88671875" style="114" customWidth="1"/>
    <col min="15" max="16384" width="10.88671875" style="114"/>
  </cols>
  <sheetData>
    <row r="1" spans="1:18" s="174" customFormat="1" ht="15.75">
      <c r="A1" s="172" t="s">
        <v>503</v>
      </c>
      <c r="B1" s="172" t="s">
        <v>502</v>
      </c>
      <c r="C1" s="173" t="s">
        <v>501</v>
      </c>
      <c r="D1" s="173" t="s">
        <v>500</v>
      </c>
      <c r="E1" s="172" t="s">
        <v>418</v>
      </c>
      <c r="F1" s="172" t="s">
        <v>415</v>
      </c>
      <c r="G1" s="172" t="s">
        <v>499</v>
      </c>
      <c r="H1" s="172" t="s">
        <v>498</v>
      </c>
      <c r="I1" s="172" t="s">
        <v>416</v>
      </c>
      <c r="J1" s="173" t="s">
        <v>400</v>
      </c>
      <c r="L1" s="172" t="s">
        <v>502</v>
      </c>
      <c r="M1" s="173" t="s">
        <v>402</v>
      </c>
    </row>
    <row r="2" spans="1:18">
      <c r="A2" s="171" t="s">
        <v>443</v>
      </c>
      <c r="B2" s="171" t="s">
        <v>442</v>
      </c>
      <c r="C2" s="169">
        <v>50</v>
      </c>
      <c r="D2" s="169">
        <v>55</v>
      </c>
      <c r="E2" s="171" t="s">
        <v>398</v>
      </c>
      <c r="F2" s="171" t="s">
        <v>429</v>
      </c>
      <c r="G2" s="171" t="s">
        <v>495</v>
      </c>
      <c r="H2" s="171" t="s">
        <v>494</v>
      </c>
      <c r="I2" s="171" t="s">
        <v>493</v>
      </c>
      <c r="J2" s="169">
        <v>2000</v>
      </c>
      <c r="L2" s="171" t="s">
        <v>442</v>
      </c>
      <c r="M2" s="170">
        <f>SUMPRODUCT(--($B$2:$B$31=$L2),$C$2:$C$31,$J$2:$J$31)</f>
        <v>326650</v>
      </c>
    </row>
    <row r="3" spans="1:18">
      <c r="A3" s="171" t="s">
        <v>441</v>
      </c>
      <c r="B3" s="171" t="s">
        <v>440</v>
      </c>
      <c r="C3" s="169">
        <v>15</v>
      </c>
      <c r="D3" s="169">
        <v>20</v>
      </c>
      <c r="E3" s="171" t="s">
        <v>398</v>
      </c>
      <c r="F3" s="171" t="s">
        <v>423</v>
      </c>
      <c r="G3" s="171" t="s">
        <v>472</v>
      </c>
      <c r="H3" s="171" t="s">
        <v>492</v>
      </c>
      <c r="I3" s="171" t="s">
        <v>470</v>
      </c>
      <c r="J3" s="169">
        <v>1000</v>
      </c>
      <c r="L3" s="171" t="s">
        <v>440</v>
      </c>
      <c r="M3" s="170">
        <f t="shared" ref="M3:M6" si="0">SUMPRODUCT(--($B$2:$B$31=$L3),$C$2:$C$31,$J$2:$J$31)</f>
        <v>83280</v>
      </c>
    </row>
    <row r="4" spans="1:18">
      <c r="A4" s="171" t="s">
        <v>436</v>
      </c>
      <c r="B4" s="171" t="s">
        <v>435</v>
      </c>
      <c r="C4" s="169">
        <v>12</v>
      </c>
      <c r="D4" s="169">
        <v>15</v>
      </c>
      <c r="E4" s="171" t="s">
        <v>398</v>
      </c>
      <c r="F4" s="171" t="s">
        <v>412</v>
      </c>
      <c r="G4" s="171" t="s">
        <v>491</v>
      </c>
      <c r="H4" s="171" t="s">
        <v>490</v>
      </c>
      <c r="I4" s="171" t="s">
        <v>489</v>
      </c>
      <c r="J4" s="169">
        <v>1200</v>
      </c>
      <c r="L4" s="171" t="s">
        <v>435</v>
      </c>
      <c r="M4" s="170">
        <f t="shared" si="0"/>
        <v>162228</v>
      </c>
    </row>
    <row r="5" spans="1:18">
      <c r="A5" s="171" t="s">
        <v>431</v>
      </c>
      <c r="B5" s="171" t="s">
        <v>430</v>
      </c>
      <c r="C5" s="169">
        <v>150</v>
      </c>
      <c r="D5" s="169">
        <v>160</v>
      </c>
      <c r="E5" s="171" t="s">
        <v>398</v>
      </c>
      <c r="F5" s="171" t="s">
        <v>411</v>
      </c>
      <c r="G5" s="171" t="s">
        <v>488</v>
      </c>
      <c r="H5" s="171" t="s">
        <v>487</v>
      </c>
      <c r="I5" s="171" t="s">
        <v>486</v>
      </c>
      <c r="J5" s="169">
        <v>1250</v>
      </c>
      <c r="L5" s="171" t="s">
        <v>430</v>
      </c>
      <c r="M5" s="170">
        <f t="shared" si="0"/>
        <v>854550</v>
      </c>
    </row>
    <row r="6" spans="1:18">
      <c r="A6" s="171" t="s">
        <v>425</v>
      </c>
      <c r="B6" s="171" t="s">
        <v>424</v>
      </c>
      <c r="C6" s="169">
        <v>50</v>
      </c>
      <c r="D6" s="169">
        <v>60</v>
      </c>
      <c r="E6" s="171" t="s">
        <v>398</v>
      </c>
      <c r="F6" s="171" t="s">
        <v>429</v>
      </c>
      <c r="G6" s="171" t="s">
        <v>485</v>
      </c>
      <c r="H6" s="171" t="s">
        <v>484</v>
      </c>
      <c r="I6" s="171" t="s">
        <v>483</v>
      </c>
      <c r="J6" s="169">
        <v>1300</v>
      </c>
      <c r="L6" s="171" t="s">
        <v>424</v>
      </c>
      <c r="M6" s="170">
        <f t="shared" si="0"/>
        <v>300900</v>
      </c>
    </row>
    <row r="7" spans="1:18">
      <c r="A7" s="171" t="s">
        <v>443</v>
      </c>
      <c r="B7" s="171" t="s">
        <v>442</v>
      </c>
      <c r="C7" s="169">
        <v>50</v>
      </c>
      <c r="D7" s="169">
        <v>55</v>
      </c>
      <c r="E7" s="171" t="s">
        <v>397</v>
      </c>
      <c r="F7" s="171" t="s">
        <v>423</v>
      </c>
      <c r="G7" s="171" t="s">
        <v>422</v>
      </c>
      <c r="H7" s="171" t="s">
        <v>482</v>
      </c>
      <c r="I7" s="171" t="s">
        <v>420</v>
      </c>
      <c r="J7" s="169">
        <v>1350</v>
      </c>
    </row>
    <row r="8" spans="1:18">
      <c r="A8" s="171" t="s">
        <v>441</v>
      </c>
      <c r="B8" s="171" t="s">
        <v>440</v>
      </c>
      <c r="C8" s="169">
        <v>15</v>
      </c>
      <c r="D8" s="169">
        <v>20</v>
      </c>
      <c r="E8" s="171" t="s">
        <v>397</v>
      </c>
      <c r="F8" s="171" t="s">
        <v>412</v>
      </c>
      <c r="G8" s="171" t="s">
        <v>439</v>
      </c>
      <c r="H8" s="171" t="s">
        <v>481</v>
      </c>
      <c r="I8" s="171" t="s">
        <v>437</v>
      </c>
      <c r="J8" s="169">
        <v>1400</v>
      </c>
      <c r="M8" s="114">
        <f xml:space="preserve"> --(TRUE)</f>
        <v>1</v>
      </c>
    </row>
    <row r="9" spans="1:18">
      <c r="A9" s="171" t="s">
        <v>436</v>
      </c>
      <c r="B9" s="171" t="s">
        <v>435</v>
      </c>
      <c r="C9" s="169">
        <v>12</v>
      </c>
      <c r="D9" s="169">
        <v>15</v>
      </c>
      <c r="E9" s="171" t="s">
        <v>397</v>
      </c>
      <c r="F9" s="171" t="s">
        <v>411</v>
      </c>
      <c r="G9" s="171" t="s">
        <v>434</v>
      </c>
      <c r="H9" s="171" t="s">
        <v>480</v>
      </c>
      <c r="I9" s="171" t="s">
        <v>432</v>
      </c>
      <c r="J9" s="169">
        <v>9000</v>
      </c>
    </row>
    <row r="10" spans="1:18">
      <c r="A10" s="171" t="s">
        <v>431</v>
      </c>
      <c r="B10" s="171" t="s">
        <v>430</v>
      </c>
      <c r="C10" s="169">
        <v>150</v>
      </c>
      <c r="D10" s="169">
        <v>160</v>
      </c>
      <c r="E10" s="171" t="s">
        <v>397</v>
      </c>
      <c r="F10" s="171" t="s">
        <v>429</v>
      </c>
      <c r="G10" s="171" t="s">
        <v>428</v>
      </c>
      <c r="H10" s="171" t="s">
        <v>479</v>
      </c>
      <c r="I10" s="171" t="s">
        <v>426</v>
      </c>
      <c r="J10" s="169">
        <v>800</v>
      </c>
    </row>
    <row r="11" spans="1:18">
      <c r="A11" s="171" t="s">
        <v>425</v>
      </c>
      <c r="B11" s="171" t="s">
        <v>424</v>
      </c>
      <c r="C11" s="169">
        <v>50</v>
      </c>
      <c r="D11" s="169">
        <v>60</v>
      </c>
      <c r="E11" s="171" t="s">
        <v>397</v>
      </c>
      <c r="F11" s="171" t="s">
        <v>423</v>
      </c>
      <c r="G11" s="171" t="s">
        <v>422</v>
      </c>
      <c r="H11" s="171" t="s">
        <v>478</v>
      </c>
      <c r="I11" s="171" t="s">
        <v>420</v>
      </c>
      <c r="J11" s="169">
        <v>1700</v>
      </c>
    </row>
    <row r="12" spans="1:18" ht="15.75">
      <c r="A12" s="171" t="s">
        <v>443</v>
      </c>
      <c r="B12" s="171" t="s">
        <v>442</v>
      </c>
      <c r="C12" s="169">
        <v>50</v>
      </c>
      <c r="D12" s="169">
        <v>55</v>
      </c>
      <c r="E12" s="171" t="s">
        <v>396</v>
      </c>
      <c r="F12" s="171" t="s">
        <v>412</v>
      </c>
      <c r="G12" s="171" t="s">
        <v>452</v>
      </c>
      <c r="H12" s="171" t="s">
        <v>477</v>
      </c>
      <c r="I12" s="171" t="s">
        <v>450</v>
      </c>
      <c r="J12" s="169">
        <v>650</v>
      </c>
      <c r="L12" s="172" t="s">
        <v>502</v>
      </c>
      <c r="M12" s="258" t="s">
        <v>429</v>
      </c>
      <c r="N12" s="258" t="s">
        <v>423</v>
      </c>
      <c r="O12" s="258" t="s">
        <v>412</v>
      </c>
      <c r="P12" s="258" t="s">
        <v>411</v>
      </c>
      <c r="Q12" s="171"/>
      <c r="R12" s="171"/>
    </row>
    <row r="13" spans="1:18">
      <c r="A13" s="171" t="s">
        <v>441</v>
      </c>
      <c r="B13" s="171" t="s">
        <v>440</v>
      </c>
      <c r="C13" s="169">
        <v>15</v>
      </c>
      <c r="D13" s="169">
        <v>20</v>
      </c>
      <c r="E13" s="171" t="s">
        <v>396</v>
      </c>
      <c r="F13" s="171" t="s">
        <v>411</v>
      </c>
      <c r="G13" s="171" t="s">
        <v>461</v>
      </c>
      <c r="H13" s="171" t="s">
        <v>476</v>
      </c>
      <c r="I13" s="171" t="s">
        <v>459</v>
      </c>
      <c r="J13" s="169">
        <v>780</v>
      </c>
      <c r="L13" s="256" t="s">
        <v>442</v>
      </c>
      <c r="M13" s="259">
        <f xml:space="preserve"> SUMPRODUCT(--($B$2:$B$31=$L13), --($F$2:$F$31=M$12),$C$2:$C$31,$J$2:$J$31)</f>
        <v>132850</v>
      </c>
      <c r="N13" s="259">
        <f t="shared" ref="N13:P17" si="1" xml:space="preserve"> SUMPRODUCT(--($B$2:$B$31=$L13), --($F$2:$F$31=N$12),$C$2:$C$31,$J$2:$J$31)</f>
        <v>112300</v>
      </c>
      <c r="O13" s="259">
        <f t="shared" si="1"/>
        <v>32500</v>
      </c>
      <c r="P13" s="259">
        <f t="shared" si="1"/>
        <v>49000</v>
      </c>
      <c r="Q13" s="257"/>
      <c r="R13" s="171"/>
    </row>
    <row r="14" spans="1:18">
      <c r="A14" s="171" t="s">
        <v>436</v>
      </c>
      <c r="B14" s="171" t="s">
        <v>435</v>
      </c>
      <c r="C14" s="169">
        <v>12</v>
      </c>
      <c r="D14" s="169">
        <v>15</v>
      </c>
      <c r="E14" s="171" t="s">
        <v>396</v>
      </c>
      <c r="F14" s="171" t="s">
        <v>429</v>
      </c>
      <c r="G14" s="171" t="s">
        <v>475</v>
      </c>
      <c r="H14" s="171" t="s">
        <v>474</v>
      </c>
      <c r="I14" s="171" t="s">
        <v>473</v>
      </c>
      <c r="J14" s="169">
        <v>820</v>
      </c>
      <c r="L14" s="256" t="s">
        <v>440</v>
      </c>
      <c r="M14" s="259">
        <f t="shared" ref="M14:M17" si="2" xml:space="preserve"> SUMPRODUCT(--($B$2:$B$31=$L14), --($F$2:$F$31=M$12),$C$2:$C$31,$J$2:$J$31)</f>
        <v>13500</v>
      </c>
      <c r="N14" s="259">
        <f t="shared" si="1"/>
        <v>28425</v>
      </c>
      <c r="O14" s="259">
        <f t="shared" si="1"/>
        <v>29655</v>
      </c>
      <c r="P14" s="259">
        <f t="shared" si="1"/>
        <v>11700</v>
      </c>
      <c r="Q14" s="257"/>
      <c r="R14" s="171"/>
    </row>
    <row r="15" spans="1:18">
      <c r="A15" s="171" t="s">
        <v>431</v>
      </c>
      <c r="B15" s="171" t="s">
        <v>430</v>
      </c>
      <c r="C15" s="169">
        <v>150</v>
      </c>
      <c r="D15" s="169">
        <v>160</v>
      </c>
      <c r="E15" s="171" t="s">
        <v>396</v>
      </c>
      <c r="F15" s="171" t="s">
        <v>423</v>
      </c>
      <c r="G15" s="171" t="s">
        <v>472</v>
      </c>
      <c r="H15" s="171" t="s">
        <v>471</v>
      </c>
      <c r="I15" s="171" t="s">
        <v>470</v>
      </c>
      <c r="J15" s="169">
        <v>780</v>
      </c>
      <c r="L15" s="256" t="s">
        <v>435</v>
      </c>
      <c r="M15" s="259">
        <f t="shared" si="2"/>
        <v>9840</v>
      </c>
      <c r="N15" s="259">
        <f t="shared" si="1"/>
        <v>7872</v>
      </c>
      <c r="O15" s="259">
        <f t="shared" si="1"/>
        <v>24672</v>
      </c>
      <c r="P15" s="259">
        <f t="shared" si="1"/>
        <v>119844</v>
      </c>
      <c r="Q15" s="257"/>
      <c r="R15" s="171"/>
    </row>
    <row r="16" spans="1:18">
      <c r="A16" s="171" t="s">
        <v>425</v>
      </c>
      <c r="B16" s="171" t="s">
        <v>424</v>
      </c>
      <c r="C16" s="169">
        <v>50</v>
      </c>
      <c r="D16" s="169">
        <v>60</v>
      </c>
      <c r="E16" s="171" t="s">
        <v>396</v>
      </c>
      <c r="F16" s="171" t="s">
        <v>412</v>
      </c>
      <c r="G16" s="171" t="s">
        <v>469</v>
      </c>
      <c r="H16" s="171" t="s">
        <v>468</v>
      </c>
      <c r="I16" s="171" t="s">
        <v>467</v>
      </c>
      <c r="J16" s="169">
        <v>850</v>
      </c>
      <c r="L16" s="171" t="s">
        <v>430</v>
      </c>
      <c r="M16" s="259">
        <f t="shared" si="2"/>
        <v>254550</v>
      </c>
      <c r="N16" s="259">
        <f t="shared" si="1"/>
        <v>117000</v>
      </c>
      <c r="O16" s="259">
        <f t="shared" si="1"/>
        <v>147750</v>
      </c>
      <c r="P16" s="259">
        <f t="shared" si="1"/>
        <v>335250</v>
      </c>
    </row>
    <row r="17" spans="1:16">
      <c r="A17" s="171" t="s">
        <v>443</v>
      </c>
      <c r="B17" s="171" t="s">
        <v>442</v>
      </c>
      <c r="C17" s="169">
        <v>50</v>
      </c>
      <c r="D17" s="169">
        <v>55</v>
      </c>
      <c r="E17" s="171" t="s">
        <v>395</v>
      </c>
      <c r="F17" s="171" t="s">
        <v>411</v>
      </c>
      <c r="G17" s="171" t="s">
        <v>449</v>
      </c>
      <c r="H17" s="171" t="s">
        <v>466</v>
      </c>
      <c r="I17" s="171" t="s">
        <v>447</v>
      </c>
      <c r="J17" s="169">
        <v>980</v>
      </c>
      <c r="L17" s="171" t="s">
        <v>424</v>
      </c>
      <c r="M17" s="259">
        <f t="shared" si="2"/>
        <v>97900</v>
      </c>
      <c r="N17" s="259">
        <f t="shared" si="1"/>
        <v>127600</v>
      </c>
      <c r="O17" s="259">
        <f t="shared" si="1"/>
        <v>42500</v>
      </c>
      <c r="P17" s="259">
        <f t="shared" si="1"/>
        <v>32900</v>
      </c>
    </row>
    <row r="18" spans="1:16">
      <c r="A18" s="171" t="s">
        <v>441</v>
      </c>
      <c r="B18" s="171" t="s">
        <v>440</v>
      </c>
      <c r="C18" s="169">
        <v>15</v>
      </c>
      <c r="D18" s="169">
        <v>20</v>
      </c>
      <c r="E18" s="171" t="s">
        <v>395</v>
      </c>
      <c r="F18" s="171" t="s">
        <v>429</v>
      </c>
      <c r="G18" s="171" t="s">
        <v>458</v>
      </c>
      <c r="H18" s="171" t="s">
        <v>457</v>
      </c>
      <c r="I18" s="171" t="s">
        <v>465</v>
      </c>
      <c r="J18" s="169">
        <v>900</v>
      </c>
    </row>
    <row r="19" spans="1:16">
      <c r="A19" s="171" t="s">
        <v>436</v>
      </c>
      <c r="B19" s="171" t="s">
        <v>435</v>
      </c>
      <c r="C19" s="169">
        <v>12</v>
      </c>
      <c r="D19" s="169">
        <v>15</v>
      </c>
      <c r="E19" s="171" t="s">
        <v>395</v>
      </c>
      <c r="F19" s="171" t="s">
        <v>423</v>
      </c>
      <c r="G19" s="171" t="s">
        <v>455</v>
      </c>
      <c r="H19" s="171" t="s">
        <v>464</v>
      </c>
      <c r="I19" s="171" t="s">
        <v>453</v>
      </c>
      <c r="J19" s="169">
        <v>656</v>
      </c>
    </row>
    <row r="20" spans="1:16">
      <c r="A20" s="171" t="s">
        <v>431</v>
      </c>
      <c r="B20" s="171" t="s">
        <v>430</v>
      </c>
      <c r="C20" s="169">
        <v>150</v>
      </c>
      <c r="D20" s="169">
        <v>160</v>
      </c>
      <c r="E20" s="171" t="s">
        <v>395</v>
      </c>
      <c r="F20" s="171" t="s">
        <v>412</v>
      </c>
      <c r="G20" s="171" t="s">
        <v>463</v>
      </c>
      <c r="H20" s="171" t="s">
        <v>463</v>
      </c>
      <c r="I20" s="171" t="s">
        <v>462</v>
      </c>
      <c r="J20" s="169">
        <v>985</v>
      </c>
    </row>
    <row r="21" spans="1:16">
      <c r="A21" s="171" t="s">
        <v>425</v>
      </c>
      <c r="B21" s="171" t="s">
        <v>424</v>
      </c>
      <c r="C21" s="169">
        <v>50</v>
      </c>
      <c r="D21" s="169">
        <v>60</v>
      </c>
      <c r="E21" s="171" t="s">
        <v>395</v>
      </c>
      <c r="F21" s="171" t="s">
        <v>411</v>
      </c>
      <c r="G21" s="171" t="s">
        <v>461</v>
      </c>
      <c r="H21" s="171" t="s">
        <v>460</v>
      </c>
      <c r="I21" s="171" t="s">
        <v>459</v>
      </c>
      <c r="J21" s="169">
        <v>658</v>
      </c>
    </row>
    <row r="22" spans="1:16">
      <c r="A22" s="171" t="s">
        <v>443</v>
      </c>
      <c r="B22" s="171" t="s">
        <v>442</v>
      </c>
      <c r="C22" s="169">
        <v>50</v>
      </c>
      <c r="D22" s="169">
        <v>55</v>
      </c>
      <c r="E22" s="171" t="s">
        <v>393</v>
      </c>
      <c r="F22" s="171" t="s">
        <v>429</v>
      </c>
      <c r="G22" s="171" t="s">
        <v>458</v>
      </c>
      <c r="H22" s="171" t="s">
        <v>457</v>
      </c>
      <c r="I22" s="171" t="s">
        <v>456</v>
      </c>
      <c r="J22" s="169">
        <v>657</v>
      </c>
    </row>
    <row r="23" spans="1:16">
      <c r="A23" s="171" t="s">
        <v>441</v>
      </c>
      <c r="B23" s="171" t="s">
        <v>440</v>
      </c>
      <c r="C23" s="169">
        <v>15</v>
      </c>
      <c r="D23" s="169">
        <v>20</v>
      </c>
      <c r="E23" s="171" t="s">
        <v>393</v>
      </c>
      <c r="F23" s="171" t="s">
        <v>423</v>
      </c>
      <c r="G23" s="171" t="s">
        <v>455</v>
      </c>
      <c r="H23" s="171" t="s">
        <v>454</v>
      </c>
      <c r="I23" s="171" t="s">
        <v>453</v>
      </c>
      <c r="J23" s="169">
        <v>895</v>
      </c>
    </row>
    <row r="24" spans="1:16">
      <c r="A24" s="171" t="s">
        <v>436</v>
      </c>
      <c r="B24" s="171" t="s">
        <v>435</v>
      </c>
      <c r="C24" s="169">
        <v>12</v>
      </c>
      <c r="D24" s="169">
        <v>15</v>
      </c>
      <c r="E24" s="171" t="s">
        <v>393</v>
      </c>
      <c r="F24" s="171" t="s">
        <v>412</v>
      </c>
      <c r="G24" s="171" t="s">
        <v>452</v>
      </c>
      <c r="H24" s="171" t="s">
        <v>451</v>
      </c>
      <c r="I24" s="171" t="s">
        <v>450</v>
      </c>
      <c r="J24" s="169">
        <v>856</v>
      </c>
    </row>
    <row r="25" spans="1:16">
      <c r="A25" s="171" t="s">
        <v>431</v>
      </c>
      <c r="B25" s="171" t="s">
        <v>430</v>
      </c>
      <c r="C25" s="169">
        <v>150</v>
      </c>
      <c r="D25" s="169">
        <v>160</v>
      </c>
      <c r="E25" s="171" t="s">
        <v>393</v>
      </c>
      <c r="F25" s="171" t="s">
        <v>411</v>
      </c>
      <c r="G25" s="171" t="s">
        <v>449</v>
      </c>
      <c r="H25" s="171" t="s">
        <v>448</v>
      </c>
      <c r="I25" s="171" t="s">
        <v>447</v>
      </c>
      <c r="J25" s="169">
        <v>985</v>
      </c>
    </row>
    <row r="26" spans="1:16">
      <c r="A26" s="171" t="s">
        <v>425</v>
      </c>
      <c r="B26" s="171" t="s">
        <v>424</v>
      </c>
      <c r="C26" s="169">
        <v>50</v>
      </c>
      <c r="D26" s="169">
        <v>60</v>
      </c>
      <c r="E26" s="171" t="s">
        <v>393</v>
      </c>
      <c r="F26" s="171" t="s">
        <v>429</v>
      </c>
      <c r="G26" s="171" t="s">
        <v>446</v>
      </c>
      <c r="H26" s="171" t="s">
        <v>445</v>
      </c>
      <c r="I26" s="171" t="s">
        <v>444</v>
      </c>
      <c r="J26" s="169">
        <v>658</v>
      </c>
    </row>
    <row r="27" spans="1:16">
      <c r="A27" s="171" t="s">
        <v>443</v>
      </c>
      <c r="B27" s="171" t="s">
        <v>442</v>
      </c>
      <c r="C27" s="169">
        <v>50</v>
      </c>
      <c r="D27" s="169">
        <v>55</v>
      </c>
      <c r="E27" s="171" t="s">
        <v>413</v>
      </c>
      <c r="F27" s="171" t="s">
        <v>423</v>
      </c>
      <c r="G27" s="171" t="s">
        <v>422</v>
      </c>
      <c r="H27" s="171" t="s">
        <v>421</v>
      </c>
      <c r="I27" s="171" t="s">
        <v>420</v>
      </c>
      <c r="J27" s="169">
        <v>896</v>
      </c>
    </row>
    <row r="28" spans="1:16">
      <c r="A28" s="171" t="s">
        <v>441</v>
      </c>
      <c r="B28" s="171" t="s">
        <v>440</v>
      </c>
      <c r="C28" s="169">
        <v>15</v>
      </c>
      <c r="D28" s="169">
        <v>20</v>
      </c>
      <c r="E28" s="171" t="s">
        <v>413</v>
      </c>
      <c r="F28" s="171" t="s">
        <v>412</v>
      </c>
      <c r="G28" s="171" t="s">
        <v>439</v>
      </c>
      <c r="H28" s="171" t="s">
        <v>438</v>
      </c>
      <c r="I28" s="171" t="s">
        <v>437</v>
      </c>
      <c r="J28" s="169">
        <v>577</v>
      </c>
    </row>
    <row r="29" spans="1:16">
      <c r="A29" s="171" t="s">
        <v>436</v>
      </c>
      <c r="B29" s="171" t="s">
        <v>435</v>
      </c>
      <c r="C29" s="169">
        <v>12</v>
      </c>
      <c r="D29" s="169">
        <v>15</v>
      </c>
      <c r="E29" s="171" t="s">
        <v>413</v>
      </c>
      <c r="F29" s="171" t="s">
        <v>411</v>
      </c>
      <c r="G29" s="171" t="s">
        <v>434</v>
      </c>
      <c r="H29" s="171" t="s">
        <v>433</v>
      </c>
      <c r="I29" s="171" t="s">
        <v>432</v>
      </c>
      <c r="J29" s="169">
        <v>987</v>
      </c>
    </row>
    <row r="30" spans="1:16">
      <c r="A30" s="171" t="s">
        <v>431</v>
      </c>
      <c r="B30" s="171" t="s">
        <v>430</v>
      </c>
      <c r="C30" s="169">
        <v>150</v>
      </c>
      <c r="D30" s="169">
        <v>160</v>
      </c>
      <c r="E30" s="171" t="s">
        <v>413</v>
      </c>
      <c r="F30" s="171" t="s">
        <v>429</v>
      </c>
      <c r="G30" s="171" t="s">
        <v>428</v>
      </c>
      <c r="H30" s="171" t="s">
        <v>427</v>
      </c>
      <c r="I30" s="171" t="s">
        <v>426</v>
      </c>
      <c r="J30" s="169">
        <v>897</v>
      </c>
    </row>
    <row r="31" spans="1:16">
      <c r="A31" s="171" t="s">
        <v>425</v>
      </c>
      <c r="B31" s="171" t="s">
        <v>424</v>
      </c>
      <c r="C31" s="169">
        <v>50</v>
      </c>
      <c r="D31" s="169">
        <v>60</v>
      </c>
      <c r="E31" s="171" t="s">
        <v>413</v>
      </c>
      <c r="F31" s="171" t="s">
        <v>423</v>
      </c>
      <c r="G31" s="171" t="s">
        <v>422</v>
      </c>
      <c r="H31" s="171" t="s">
        <v>421</v>
      </c>
      <c r="I31" s="171" t="s">
        <v>420</v>
      </c>
      <c r="J31" s="169">
        <v>852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
  <dimension ref="A1:L21"/>
  <sheetViews>
    <sheetView topLeftCell="D1" zoomScale="120" zoomScaleNormal="120" workbookViewId="0">
      <selection activeCell="K12" sqref="K12"/>
    </sheetView>
  </sheetViews>
  <sheetFormatPr defaultColWidth="6.109375" defaultRowHeight="14.25"/>
  <cols>
    <col min="1" max="1" width="6.6640625" style="176" bestFit="1" customWidth="1"/>
    <col min="2" max="2" width="12.109375" style="175" bestFit="1" customWidth="1"/>
    <col min="3" max="3" width="9.21875" style="176" customWidth="1"/>
    <col min="4" max="4" width="7.44140625" style="176" customWidth="1"/>
    <col min="5" max="5" width="7.21875" style="176" bestFit="1" customWidth="1"/>
    <col min="6" max="6" width="8.6640625" style="176" customWidth="1"/>
    <col min="7" max="7" width="8.77734375" style="176" bestFit="1" customWidth="1"/>
    <col min="8" max="8" width="8.5546875" style="176" customWidth="1"/>
    <col min="9" max="9" width="6.109375" style="175"/>
    <col min="10" max="10" width="11.109375" style="176" customWidth="1"/>
    <col min="11" max="11" width="12.77734375" style="176" customWidth="1"/>
    <col min="12" max="12" width="6.33203125" style="176" customWidth="1"/>
    <col min="13" max="16384" width="6.109375" style="175"/>
  </cols>
  <sheetData>
    <row r="1" spans="1:12" ht="15">
      <c r="A1" s="206" t="s">
        <v>82</v>
      </c>
      <c r="B1" s="207" t="s">
        <v>406</v>
      </c>
      <c r="C1" s="206" t="s">
        <v>97</v>
      </c>
      <c r="D1" s="206" t="s">
        <v>96</v>
      </c>
      <c r="E1" s="206" t="s">
        <v>95</v>
      </c>
      <c r="F1" s="206" t="s">
        <v>94</v>
      </c>
      <c r="G1" s="206" t="s">
        <v>93</v>
      </c>
      <c r="H1" s="206" t="s">
        <v>383</v>
      </c>
      <c r="J1" s="306" t="s">
        <v>511</v>
      </c>
      <c r="K1" s="307"/>
      <c r="L1" s="308"/>
    </row>
    <row r="2" spans="1:12">
      <c r="A2" s="178">
        <v>1</v>
      </c>
      <c r="B2" s="179" t="s">
        <v>81</v>
      </c>
      <c r="C2" s="64">
        <v>45</v>
      </c>
      <c r="D2" s="64">
        <v>72</v>
      </c>
      <c r="E2" s="64">
        <v>65</v>
      </c>
      <c r="F2" s="64">
        <v>50</v>
      </c>
      <c r="G2" s="64">
        <v>78</v>
      </c>
      <c r="H2" s="178">
        <f>SUM(C2:G2)</f>
        <v>310</v>
      </c>
      <c r="J2" s="178">
        <v>0</v>
      </c>
      <c r="K2" s="178">
        <v>240</v>
      </c>
      <c r="L2" s="178" t="s">
        <v>4</v>
      </c>
    </row>
    <row r="3" spans="1:12">
      <c r="A3" s="178">
        <v>2</v>
      </c>
      <c r="B3" s="179" t="s">
        <v>80</v>
      </c>
      <c r="C3" s="64">
        <v>75</v>
      </c>
      <c r="D3" s="64">
        <v>67</v>
      </c>
      <c r="E3" s="64">
        <v>89</v>
      </c>
      <c r="F3" s="64">
        <v>34</v>
      </c>
      <c r="G3" s="64">
        <v>58</v>
      </c>
      <c r="H3" s="178">
        <f t="shared" ref="H3:H21" si="0">SUM(C3:G3)</f>
        <v>323</v>
      </c>
      <c r="J3" s="178">
        <v>241</v>
      </c>
      <c r="K3" s="178">
        <v>360</v>
      </c>
      <c r="L3" s="178" t="s">
        <v>121</v>
      </c>
    </row>
    <row r="4" spans="1:12">
      <c r="A4" s="178">
        <v>3</v>
      </c>
      <c r="B4" s="179" t="s">
        <v>79</v>
      </c>
      <c r="C4" s="64">
        <v>87</v>
      </c>
      <c r="D4" s="64">
        <v>65</v>
      </c>
      <c r="E4" s="64">
        <v>56</v>
      </c>
      <c r="F4" s="64">
        <v>56</v>
      </c>
      <c r="G4" s="64">
        <v>65</v>
      </c>
      <c r="H4" s="178">
        <f t="shared" si="0"/>
        <v>329</v>
      </c>
      <c r="J4" s="178">
        <v>361</v>
      </c>
      <c r="K4" s="178">
        <v>420</v>
      </c>
      <c r="L4" s="178" t="s">
        <v>512</v>
      </c>
    </row>
    <row r="5" spans="1:12">
      <c r="A5" s="178">
        <v>4</v>
      </c>
      <c r="B5" s="179" t="s">
        <v>78</v>
      </c>
      <c r="C5" s="64">
        <v>67</v>
      </c>
      <c r="D5" s="64">
        <v>67</v>
      </c>
      <c r="E5" s="64">
        <v>75</v>
      </c>
      <c r="F5" s="64">
        <v>67</v>
      </c>
      <c r="G5" s="64">
        <v>66</v>
      </c>
      <c r="H5" s="178">
        <f t="shared" si="0"/>
        <v>342</v>
      </c>
      <c r="J5" s="178">
        <v>421</v>
      </c>
      <c r="K5" s="178">
        <v>480</v>
      </c>
      <c r="L5" s="178" t="s">
        <v>513</v>
      </c>
    </row>
    <row r="6" spans="1:12">
      <c r="A6" s="178">
        <v>5</v>
      </c>
      <c r="B6" s="179" t="s">
        <v>77</v>
      </c>
      <c r="C6" s="64">
        <v>56</v>
      </c>
      <c r="D6" s="64">
        <v>77</v>
      </c>
      <c r="E6" s="64">
        <v>68</v>
      </c>
      <c r="F6" s="64">
        <v>64</v>
      </c>
      <c r="G6" s="64">
        <v>76</v>
      </c>
      <c r="H6" s="178">
        <f t="shared" si="0"/>
        <v>341</v>
      </c>
      <c r="J6" s="178">
        <v>481</v>
      </c>
      <c r="K6" s="178">
        <v>540</v>
      </c>
      <c r="L6" s="178" t="s">
        <v>514</v>
      </c>
    </row>
    <row r="7" spans="1:12">
      <c r="A7" s="178">
        <v>6</v>
      </c>
      <c r="B7" s="179" t="s">
        <v>76</v>
      </c>
      <c r="C7" s="64">
        <v>68</v>
      </c>
      <c r="D7" s="64">
        <v>78</v>
      </c>
      <c r="E7" s="64">
        <v>97</v>
      </c>
      <c r="F7" s="64">
        <v>56</v>
      </c>
      <c r="G7" s="64">
        <v>89</v>
      </c>
      <c r="H7" s="178">
        <f t="shared" si="0"/>
        <v>388</v>
      </c>
      <c r="J7" s="178">
        <v>541</v>
      </c>
      <c r="K7" s="178">
        <v>600</v>
      </c>
      <c r="L7" s="178" t="s">
        <v>515</v>
      </c>
    </row>
    <row r="8" spans="1:12">
      <c r="A8" s="178">
        <v>7</v>
      </c>
      <c r="B8" s="179" t="s">
        <v>75</v>
      </c>
      <c r="C8" s="64">
        <v>68</v>
      </c>
      <c r="D8" s="64">
        <v>68</v>
      </c>
      <c r="E8" s="64">
        <v>45</v>
      </c>
      <c r="F8" s="64">
        <v>45</v>
      </c>
      <c r="G8" s="64">
        <v>95</v>
      </c>
      <c r="H8" s="178">
        <f t="shared" si="0"/>
        <v>321</v>
      </c>
    </row>
    <row r="9" spans="1:12">
      <c r="A9" s="178">
        <v>8</v>
      </c>
      <c r="B9" s="179" t="s">
        <v>74</v>
      </c>
      <c r="C9" s="64">
        <v>69</v>
      </c>
      <c r="D9" s="64">
        <v>76</v>
      </c>
      <c r="E9" s="64">
        <v>68</v>
      </c>
      <c r="F9" s="64">
        <v>87</v>
      </c>
      <c r="G9" s="64">
        <v>59</v>
      </c>
      <c r="H9" s="178">
        <f t="shared" si="0"/>
        <v>359</v>
      </c>
    </row>
    <row r="10" spans="1:12">
      <c r="A10" s="178">
        <v>9</v>
      </c>
      <c r="B10" s="179" t="s">
        <v>73</v>
      </c>
      <c r="C10" s="64">
        <v>79</v>
      </c>
      <c r="D10" s="64">
        <v>86</v>
      </c>
      <c r="E10" s="64">
        <v>56</v>
      </c>
      <c r="F10" s="64">
        <v>75</v>
      </c>
      <c r="G10" s="64">
        <v>78</v>
      </c>
      <c r="H10" s="178">
        <f t="shared" si="0"/>
        <v>374</v>
      </c>
    </row>
    <row r="11" spans="1:12" ht="15">
      <c r="A11" s="178">
        <v>10</v>
      </c>
      <c r="B11" s="179" t="s">
        <v>72</v>
      </c>
      <c r="C11" s="64">
        <v>89</v>
      </c>
      <c r="D11" s="64">
        <v>67</v>
      </c>
      <c r="E11" s="64">
        <v>77</v>
      </c>
      <c r="F11" s="64">
        <v>76</v>
      </c>
      <c r="G11" s="64">
        <v>77</v>
      </c>
      <c r="H11" s="178">
        <f t="shared" si="0"/>
        <v>386</v>
      </c>
      <c r="K11" s="177" t="s">
        <v>680</v>
      </c>
    </row>
    <row r="12" spans="1:12">
      <c r="A12" s="178">
        <v>11</v>
      </c>
      <c r="B12" s="179" t="s">
        <v>92</v>
      </c>
      <c r="C12" s="64">
        <v>45</v>
      </c>
      <c r="D12" s="64">
        <v>72</v>
      </c>
      <c r="E12" s="64">
        <v>65</v>
      </c>
      <c r="F12" s="64">
        <v>50</v>
      </c>
      <c r="G12" s="64">
        <v>78</v>
      </c>
      <c r="H12" s="178">
        <f t="shared" si="0"/>
        <v>310</v>
      </c>
      <c r="J12" s="179" t="s">
        <v>87</v>
      </c>
      <c r="K12" s="180" t="str">
        <f>VLOOKUP(VLOOKUP(J12,B1:H21,7,0),J2:L7,3,1)</f>
        <v>C</v>
      </c>
    </row>
    <row r="13" spans="1:12">
      <c r="A13" s="178">
        <v>12</v>
      </c>
      <c r="B13" s="179" t="s">
        <v>91</v>
      </c>
      <c r="C13" s="64">
        <v>75</v>
      </c>
      <c r="D13" s="64">
        <v>67</v>
      </c>
      <c r="E13" s="64">
        <v>89</v>
      </c>
      <c r="F13" s="64">
        <v>34</v>
      </c>
      <c r="G13" s="64">
        <v>58</v>
      </c>
      <c r="H13" s="178">
        <f t="shared" si="0"/>
        <v>323</v>
      </c>
    </row>
    <row r="14" spans="1:12">
      <c r="A14" s="178">
        <v>13</v>
      </c>
      <c r="B14" s="179" t="s">
        <v>90</v>
      </c>
      <c r="C14" s="64">
        <v>87</v>
      </c>
      <c r="D14" s="64">
        <v>65</v>
      </c>
      <c r="E14" s="64">
        <v>56</v>
      </c>
      <c r="F14" s="64">
        <v>56</v>
      </c>
      <c r="G14" s="64">
        <v>65</v>
      </c>
      <c r="H14" s="178">
        <f t="shared" si="0"/>
        <v>329</v>
      </c>
      <c r="J14" s="175"/>
      <c r="K14" s="175"/>
    </row>
    <row r="15" spans="1:12">
      <c r="A15" s="178">
        <v>14</v>
      </c>
      <c r="B15" s="179" t="s">
        <v>89</v>
      </c>
      <c r="C15" s="64">
        <v>67</v>
      </c>
      <c r="D15" s="64">
        <v>67</v>
      </c>
      <c r="E15" s="64">
        <v>75</v>
      </c>
      <c r="F15" s="64">
        <v>67</v>
      </c>
      <c r="G15" s="64">
        <v>66</v>
      </c>
      <c r="H15" s="178">
        <f t="shared" si="0"/>
        <v>342</v>
      </c>
      <c r="J15" s="175"/>
      <c r="K15" s="175"/>
    </row>
    <row r="16" spans="1:12">
      <c r="A16" s="178">
        <v>15</v>
      </c>
      <c r="B16" s="179" t="s">
        <v>88</v>
      </c>
      <c r="C16" s="64">
        <v>56</v>
      </c>
      <c r="D16" s="64">
        <v>77</v>
      </c>
      <c r="E16" s="64">
        <v>68</v>
      </c>
      <c r="F16" s="64">
        <v>64</v>
      </c>
      <c r="G16" s="64">
        <v>76</v>
      </c>
      <c r="H16" s="178">
        <f t="shared" si="0"/>
        <v>341</v>
      </c>
    </row>
    <row r="17" spans="1:8">
      <c r="A17" s="178">
        <v>16</v>
      </c>
      <c r="B17" s="179" t="s">
        <v>87</v>
      </c>
      <c r="C17" s="64">
        <v>68</v>
      </c>
      <c r="D17" s="64">
        <v>78</v>
      </c>
      <c r="E17" s="64">
        <v>97</v>
      </c>
      <c r="F17" s="64">
        <v>56</v>
      </c>
      <c r="G17" s="64">
        <v>89</v>
      </c>
      <c r="H17" s="178">
        <f t="shared" si="0"/>
        <v>388</v>
      </c>
    </row>
    <row r="18" spans="1:8">
      <c r="A18" s="178">
        <v>17</v>
      </c>
      <c r="B18" s="179" t="s">
        <v>86</v>
      </c>
      <c r="C18" s="64">
        <v>68</v>
      </c>
      <c r="D18" s="64">
        <v>68</v>
      </c>
      <c r="E18" s="64">
        <v>45</v>
      </c>
      <c r="F18" s="64">
        <v>45</v>
      </c>
      <c r="G18" s="64">
        <v>95</v>
      </c>
      <c r="H18" s="178">
        <f t="shared" si="0"/>
        <v>321</v>
      </c>
    </row>
    <row r="19" spans="1:8">
      <c r="A19" s="178">
        <v>18</v>
      </c>
      <c r="B19" s="179" t="s">
        <v>85</v>
      </c>
      <c r="C19" s="64">
        <v>69</v>
      </c>
      <c r="D19" s="64">
        <v>76</v>
      </c>
      <c r="E19" s="64" t="s">
        <v>551</v>
      </c>
      <c r="F19" s="64">
        <v>87</v>
      </c>
      <c r="G19" s="64">
        <v>59</v>
      </c>
      <c r="H19" s="178">
        <f t="shared" si="0"/>
        <v>291</v>
      </c>
    </row>
    <row r="20" spans="1:8">
      <c r="A20" s="178">
        <v>19</v>
      </c>
      <c r="B20" s="179" t="s">
        <v>84</v>
      </c>
      <c r="C20" s="64">
        <v>79</v>
      </c>
      <c r="D20" s="64">
        <v>86</v>
      </c>
      <c r="E20" s="64">
        <v>56</v>
      </c>
      <c r="F20" s="64">
        <v>75</v>
      </c>
      <c r="G20" s="64">
        <v>78</v>
      </c>
      <c r="H20" s="178">
        <f t="shared" si="0"/>
        <v>374</v>
      </c>
    </row>
    <row r="21" spans="1:8">
      <c r="A21" s="178">
        <v>20</v>
      </c>
      <c r="B21" s="179" t="s">
        <v>83</v>
      </c>
      <c r="C21" s="64">
        <v>99</v>
      </c>
      <c r="D21" s="64">
        <v>99</v>
      </c>
      <c r="E21" s="64">
        <v>99</v>
      </c>
      <c r="F21" s="64">
        <v>99</v>
      </c>
      <c r="G21" s="64">
        <v>99</v>
      </c>
      <c r="H21" s="178">
        <f t="shared" si="0"/>
        <v>495</v>
      </c>
    </row>
  </sheetData>
  <sheetProtection selectLockedCells="1"/>
  <customSheetViews>
    <customSheetView guid="{BBE43EB8-AC5B-419E-90E4-72D0C525AF66}">
      <pageMargins left="0.7" right="0.7" top="0.75" bottom="0.75" header="0.3" footer="0.3"/>
    </customSheetView>
  </customSheetViews>
  <mergeCells count="1">
    <mergeCell ref="J1:L1"/>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A1:Q571"/>
  <sheetViews>
    <sheetView topLeftCell="A529" zoomScale="85" zoomScaleNormal="85" workbookViewId="0">
      <selection activeCell="A8" sqref="A8:I571"/>
    </sheetView>
  </sheetViews>
  <sheetFormatPr defaultColWidth="8.77734375" defaultRowHeight="14.25"/>
  <cols>
    <col min="1" max="2" width="8.77734375" style="185"/>
    <col min="3" max="3" width="8.6640625" style="187" bestFit="1" customWidth="1"/>
    <col min="4" max="4" width="14" style="187" customWidth="1"/>
    <col min="5" max="5" width="25.88671875" style="185" bestFit="1" customWidth="1"/>
    <col min="6" max="6" width="8.88671875" style="187" customWidth="1"/>
    <col min="7" max="7" width="11.44140625" style="187" customWidth="1"/>
    <col min="8" max="8" width="12.88671875" style="187" customWidth="1"/>
    <col min="9" max="9" width="8.88671875" style="34" customWidth="1"/>
    <col min="10" max="10" width="22.21875" style="32" customWidth="1"/>
    <col min="11" max="12" width="8.77734375" style="32"/>
    <col min="13" max="13" width="17.77734375" style="32" customWidth="1"/>
    <col min="14" max="14" width="11.6640625" style="32" customWidth="1"/>
    <col min="15" max="15" width="8.77734375" style="32"/>
    <col min="16" max="16" width="13" style="32" customWidth="1"/>
    <col min="17" max="16384" width="8.77734375" style="32"/>
  </cols>
  <sheetData>
    <row r="1" spans="1:17" ht="15">
      <c r="A1" s="181"/>
      <c r="B1" s="260" t="str">
        <f>F2</f>
        <v>Central</v>
      </c>
      <c r="C1" s="191">
        <v>2005</v>
      </c>
      <c r="D1" s="191">
        <v>2006</v>
      </c>
      <c r="E1" s="191">
        <v>2007</v>
      </c>
      <c r="F1" s="261" t="s">
        <v>415</v>
      </c>
      <c r="G1"/>
      <c r="H1"/>
      <c r="I1" s="176"/>
    </row>
    <row r="2" spans="1:17" ht="15">
      <c r="A2" s="181"/>
      <c r="B2" s="192" t="s">
        <v>516</v>
      </c>
      <c r="C2" s="214">
        <f>SUMIFS($G$9:$G$571,$B$9:$B$571,$B2,$D$9:$D$571,C$1,$A$9:$A$571,$F$2)</f>
        <v>163917</v>
      </c>
      <c r="D2" s="214">
        <f t="shared" ref="D2:E4" si="0">SUMIFS($G$9:$G$571,$B$9:$B$571,$B2,$D$9:$D$571,D$1,$A$9:$A$571,$F$2)</f>
        <v>323216</v>
      </c>
      <c r="E2" s="214">
        <f t="shared" si="0"/>
        <v>289863</v>
      </c>
      <c r="F2" s="262" t="s">
        <v>528</v>
      </c>
      <c r="G2"/>
      <c r="H2"/>
      <c r="I2" s="176"/>
    </row>
    <row r="3" spans="1:17" ht="15">
      <c r="A3" s="181"/>
      <c r="B3" s="192" t="s">
        <v>517</v>
      </c>
      <c r="C3" s="214">
        <f t="shared" ref="C3:C4" si="1">SUMIFS($G$9:$G$571,$B$9:$B$571,$B3,$D$9:$D$571,C$1,$A$9:$A$571,$F$2)</f>
        <v>341971</v>
      </c>
      <c r="D3" s="214">
        <f t="shared" si="0"/>
        <v>225676</v>
      </c>
      <c r="E3" s="214">
        <f t="shared" si="0"/>
        <v>198822</v>
      </c>
      <c r="F3"/>
      <c r="G3"/>
      <c r="H3"/>
      <c r="I3" s="176"/>
      <c r="L3" s="190" t="s">
        <v>828</v>
      </c>
      <c r="M3" s="190" t="s">
        <v>829</v>
      </c>
      <c r="N3" s="190" t="s">
        <v>830</v>
      </c>
      <c r="O3" s="190" t="s">
        <v>831</v>
      </c>
      <c r="P3"/>
    </row>
    <row r="4" spans="1:17" ht="15">
      <c r="A4" s="181"/>
      <c r="B4" s="192" t="s">
        <v>518</v>
      </c>
      <c r="C4" s="214">
        <f t="shared" si="1"/>
        <v>369752</v>
      </c>
      <c r="D4" s="214">
        <f t="shared" si="0"/>
        <v>216246</v>
      </c>
      <c r="E4" s="214">
        <f t="shared" si="0"/>
        <v>246416</v>
      </c>
      <c r="F4" s="182"/>
      <c r="G4" s="182"/>
      <c r="H4" s="182"/>
      <c r="I4" s="176"/>
      <c r="K4" s="190" t="s">
        <v>516</v>
      </c>
      <c r="L4">
        <f>SUMIF($B$9:$B$571,$K4,$G$9:$G$571)</f>
        <v>2163714</v>
      </c>
      <c r="M4">
        <f>AVERAGEIF($B$9:$B$571,$K4,$G$9:$G$571)</f>
        <v>12155.696629213484</v>
      </c>
      <c r="N4" t="e">
        <f ca="1">_xludf.minifs($G$9:$G$571,$B$9:$B$571,$K3)</f>
        <v>#NAME?</v>
      </c>
      <c r="O4" t="e">
        <f ca="1">_xludf.maxifs($G$9:$G$571,$B$9:$B$571,$K4)</f>
        <v>#NAME?</v>
      </c>
      <c r="P4"/>
    </row>
    <row r="5" spans="1:17" ht="15">
      <c r="A5" s="181"/>
      <c r="B5" s="181"/>
      <c r="C5" s="182"/>
      <c r="D5" s="182" t="s">
        <v>832</v>
      </c>
      <c r="E5" s="181" t="str">
        <f>CONCATENATE(D5," ",F2," ",F1)</f>
        <v>Revenue for  Central Region</v>
      </c>
      <c r="F5" s="182"/>
      <c r="G5" s="182"/>
      <c r="H5" s="182"/>
      <c r="I5" s="176"/>
      <c r="K5" s="190" t="s">
        <v>517</v>
      </c>
      <c r="L5">
        <f t="shared" ref="L5:L6" si="2">SUMIF($B$9:$B$571,$K5,$G$9:$G$571)</f>
        <v>2101370</v>
      </c>
      <c r="M5">
        <f t="shared" ref="M5:M6" si="3">AVERAGEIF($B$9:$B$571,$K5,$G$9:$G$571)</f>
        <v>10351.576354679803</v>
      </c>
      <c r="N5"/>
      <c r="O5"/>
      <c r="P5"/>
    </row>
    <row r="6" spans="1:17" ht="15">
      <c r="A6" s="181"/>
      <c r="B6" s="181"/>
      <c r="C6" s="182"/>
      <c r="D6" s="182"/>
      <c r="E6" s="181"/>
      <c r="F6" s="182"/>
      <c r="G6" s="182"/>
      <c r="H6" s="182"/>
      <c r="I6" s="176"/>
      <c r="K6" s="190" t="s">
        <v>518</v>
      </c>
      <c r="L6">
        <f t="shared" si="2"/>
        <v>2442728</v>
      </c>
      <c r="M6">
        <f t="shared" si="3"/>
        <v>13421.582417582418</v>
      </c>
      <c r="N6"/>
      <c r="O6"/>
      <c r="P6"/>
    </row>
    <row r="7" spans="1:17" ht="15">
      <c r="A7" s="181"/>
      <c r="B7" s="181"/>
      <c r="C7" s="182"/>
      <c r="D7" s="182"/>
      <c r="E7" s="181"/>
      <c r="F7" s="182"/>
      <c r="G7" s="182"/>
      <c r="H7" s="182"/>
      <c r="I7" s="176"/>
      <c r="L7"/>
      <c r="M7"/>
      <c r="N7"/>
      <c r="O7"/>
      <c r="P7"/>
    </row>
    <row r="8" spans="1:17" ht="15.75">
      <c r="A8" s="189" t="s">
        <v>415</v>
      </c>
      <c r="B8" s="189" t="s">
        <v>401</v>
      </c>
      <c r="C8" s="190" t="s">
        <v>519</v>
      </c>
      <c r="D8" s="190" t="s">
        <v>419</v>
      </c>
      <c r="E8" s="189" t="s">
        <v>520</v>
      </c>
      <c r="F8" s="190" t="s">
        <v>521</v>
      </c>
      <c r="G8" s="190" t="s">
        <v>417</v>
      </c>
      <c r="H8" s="190" t="s">
        <v>522</v>
      </c>
      <c r="I8" s="190" t="s">
        <v>496</v>
      </c>
      <c r="K8" s="175"/>
      <c r="L8"/>
      <c r="M8"/>
      <c r="N8"/>
      <c r="O8"/>
      <c r="P8"/>
      <c r="Q8" s="175"/>
    </row>
    <row r="9" spans="1:17" ht="15">
      <c r="A9" s="179" t="s">
        <v>423</v>
      </c>
      <c r="B9" s="179" t="s">
        <v>516</v>
      </c>
      <c r="C9" s="186">
        <v>38355</v>
      </c>
      <c r="D9" s="188">
        <f t="shared" ref="D9:D72" si="4">YEAR(C9)</f>
        <v>2005</v>
      </c>
      <c r="E9" s="183" t="s">
        <v>523</v>
      </c>
      <c r="F9" s="178">
        <v>500</v>
      </c>
      <c r="G9" s="178">
        <v>10475</v>
      </c>
      <c r="H9" s="178">
        <v>4920</v>
      </c>
      <c r="I9" s="178">
        <v>5555</v>
      </c>
      <c r="J9" s="32">
        <v>1</v>
      </c>
      <c r="K9" s="263">
        <f>J9*J9</f>
        <v>1</v>
      </c>
      <c r="L9"/>
      <c r="M9"/>
      <c r="N9"/>
      <c r="O9"/>
      <c r="P9"/>
    </row>
    <row r="10" spans="1:17" ht="15">
      <c r="A10" s="179" t="s">
        <v>429</v>
      </c>
      <c r="B10" s="179" t="s">
        <v>518</v>
      </c>
      <c r="C10" s="186">
        <v>38355</v>
      </c>
      <c r="D10" s="188">
        <f t="shared" si="4"/>
        <v>2005</v>
      </c>
      <c r="E10" s="183" t="s">
        <v>524</v>
      </c>
      <c r="F10" s="178">
        <v>900</v>
      </c>
      <c r="G10" s="178">
        <v>19161</v>
      </c>
      <c r="H10" s="178">
        <v>9198</v>
      </c>
      <c r="I10" s="178">
        <v>9963</v>
      </c>
      <c r="J10" s="32">
        <v>2</v>
      </c>
      <c r="K10" s="263">
        <f t="shared" ref="K10:K73" si="5">J10*J10</f>
        <v>4</v>
      </c>
      <c r="L10"/>
      <c r="M10"/>
      <c r="N10"/>
      <c r="O10"/>
      <c r="P10"/>
    </row>
    <row r="11" spans="1:17">
      <c r="A11" s="179" t="s">
        <v>429</v>
      </c>
      <c r="B11" s="179" t="s">
        <v>516</v>
      </c>
      <c r="C11" s="186">
        <v>38360</v>
      </c>
      <c r="D11" s="188">
        <f t="shared" si="4"/>
        <v>2005</v>
      </c>
      <c r="E11" s="183" t="s">
        <v>525</v>
      </c>
      <c r="F11" s="178">
        <v>500</v>
      </c>
      <c r="G11" s="178">
        <v>11845</v>
      </c>
      <c r="H11" s="178">
        <v>4920</v>
      </c>
      <c r="I11" s="178">
        <v>6925</v>
      </c>
      <c r="J11" s="32">
        <v>3</v>
      </c>
      <c r="K11" s="263">
        <f t="shared" si="5"/>
        <v>9</v>
      </c>
      <c r="M11" s="184"/>
    </row>
    <row r="12" spans="1:17">
      <c r="A12" s="179" t="s">
        <v>429</v>
      </c>
      <c r="B12" s="179" t="s">
        <v>518</v>
      </c>
      <c r="C12" s="186">
        <v>38365</v>
      </c>
      <c r="D12" s="188">
        <f t="shared" si="4"/>
        <v>2005</v>
      </c>
      <c r="E12" s="183" t="s">
        <v>526</v>
      </c>
      <c r="F12" s="178">
        <v>800</v>
      </c>
      <c r="G12" s="178">
        <v>16936</v>
      </c>
      <c r="H12" s="178">
        <v>8176</v>
      </c>
      <c r="I12" s="178">
        <v>8760</v>
      </c>
      <c r="J12" s="32">
        <v>4</v>
      </c>
      <c r="K12" s="263">
        <f t="shared" si="5"/>
        <v>16</v>
      </c>
      <c r="M12" s="184"/>
    </row>
    <row r="13" spans="1:17">
      <c r="A13" s="179" t="s">
        <v>423</v>
      </c>
      <c r="B13" s="179" t="s">
        <v>517</v>
      </c>
      <c r="C13" s="186">
        <v>38367</v>
      </c>
      <c r="D13" s="188">
        <f t="shared" si="4"/>
        <v>2005</v>
      </c>
      <c r="E13" s="183" t="s">
        <v>527</v>
      </c>
      <c r="F13" s="178">
        <v>800</v>
      </c>
      <c r="G13" s="178">
        <v>15104</v>
      </c>
      <c r="H13" s="178">
        <v>6776</v>
      </c>
      <c r="I13" s="178">
        <v>8328</v>
      </c>
      <c r="J13" s="32">
        <v>5</v>
      </c>
      <c r="K13" s="263">
        <f t="shared" si="5"/>
        <v>25</v>
      </c>
      <c r="M13" s="184"/>
    </row>
    <row r="14" spans="1:17">
      <c r="A14" s="179" t="s">
        <v>528</v>
      </c>
      <c r="B14" s="179" t="s">
        <v>518</v>
      </c>
      <c r="C14" s="186">
        <v>38368</v>
      </c>
      <c r="D14" s="188">
        <f t="shared" si="4"/>
        <v>2005</v>
      </c>
      <c r="E14" s="183" t="s">
        <v>529</v>
      </c>
      <c r="F14" s="178">
        <v>900</v>
      </c>
      <c r="G14" s="178">
        <v>19593</v>
      </c>
      <c r="H14" s="178">
        <v>9198</v>
      </c>
      <c r="I14" s="178">
        <v>10395</v>
      </c>
      <c r="J14" s="32">
        <v>6</v>
      </c>
      <c r="K14" s="263">
        <f t="shared" si="5"/>
        <v>36</v>
      </c>
      <c r="M14" s="184"/>
    </row>
    <row r="15" spans="1:17">
      <c r="A15" s="179" t="s">
        <v>528</v>
      </c>
      <c r="B15" s="179" t="s">
        <v>518</v>
      </c>
      <c r="C15" s="186">
        <v>38369</v>
      </c>
      <c r="D15" s="188">
        <f t="shared" si="4"/>
        <v>2005</v>
      </c>
      <c r="E15" s="183" t="s">
        <v>530</v>
      </c>
      <c r="F15" s="178">
        <v>1000</v>
      </c>
      <c r="G15" s="178">
        <v>24430</v>
      </c>
      <c r="H15" s="178">
        <v>10220</v>
      </c>
      <c r="I15" s="178">
        <v>14210</v>
      </c>
      <c r="J15" s="32">
        <v>7</v>
      </c>
      <c r="K15" s="263">
        <f t="shared" si="5"/>
        <v>49</v>
      </c>
      <c r="M15" s="184"/>
    </row>
    <row r="16" spans="1:17">
      <c r="A16" s="179" t="s">
        <v>423</v>
      </c>
      <c r="B16" s="179" t="s">
        <v>517</v>
      </c>
      <c r="C16" s="186">
        <v>38369</v>
      </c>
      <c r="D16" s="188">
        <f t="shared" si="4"/>
        <v>2005</v>
      </c>
      <c r="E16" s="183" t="s">
        <v>529</v>
      </c>
      <c r="F16" s="178">
        <v>800</v>
      </c>
      <c r="G16" s="178">
        <v>16856</v>
      </c>
      <c r="H16" s="178">
        <v>6776</v>
      </c>
      <c r="I16" s="178">
        <v>10080</v>
      </c>
      <c r="J16" s="32">
        <v>8</v>
      </c>
      <c r="K16" s="263">
        <f t="shared" si="5"/>
        <v>64</v>
      </c>
      <c r="M16" s="184"/>
    </row>
    <row r="17" spans="1:13">
      <c r="A17" s="179" t="s">
        <v>528</v>
      </c>
      <c r="B17" s="179" t="s">
        <v>516</v>
      </c>
      <c r="C17" s="186">
        <v>38371</v>
      </c>
      <c r="D17" s="188">
        <f t="shared" si="4"/>
        <v>2005</v>
      </c>
      <c r="E17" s="183" t="s">
        <v>531</v>
      </c>
      <c r="F17" s="178">
        <v>300</v>
      </c>
      <c r="G17" s="178">
        <v>7233</v>
      </c>
      <c r="H17" s="178">
        <v>2952</v>
      </c>
      <c r="I17" s="178">
        <v>4281</v>
      </c>
      <c r="J17" s="32">
        <v>9</v>
      </c>
      <c r="K17" s="263">
        <f t="shared" si="5"/>
        <v>81</v>
      </c>
      <c r="M17" s="184"/>
    </row>
    <row r="18" spans="1:13">
      <c r="A18" s="179" t="s">
        <v>429</v>
      </c>
      <c r="B18" s="179" t="s">
        <v>516</v>
      </c>
      <c r="C18" s="186">
        <v>38373</v>
      </c>
      <c r="D18" s="188">
        <f t="shared" si="4"/>
        <v>2005</v>
      </c>
      <c r="E18" s="183" t="s">
        <v>530</v>
      </c>
      <c r="F18" s="178">
        <v>1000</v>
      </c>
      <c r="G18" s="178">
        <v>20540</v>
      </c>
      <c r="H18" s="178">
        <v>9840</v>
      </c>
      <c r="I18" s="178">
        <v>10700</v>
      </c>
      <c r="J18" s="32">
        <v>10</v>
      </c>
      <c r="K18" s="263">
        <f t="shared" si="5"/>
        <v>100</v>
      </c>
      <c r="M18" s="184"/>
    </row>
    <row r="19" spans="1:13">
      <c r="A19" s="179" t="s">
        <v>528</v>
      </c>
      <c r="B19" s="179" t="s">
        <v>517</v>
      </c>
      <c r="C19" s="186">
        <v>38374</v>
      </c>
      <c r="D19" s="188">
        <f t="shared" si="4"/>
        <v>2005</v>
      </c>
      <c r="E19" s="183" t="s">
        <v>524</v>
      </c>
      <c r="F19" s="178">
        <v>900</v>
      </c>
      <c r="G19" s="178">
        <v>17136</v>
      </c>
      <c r="H19" s="178">
        <v>7623</v>
      </c>
      <c r="I19" s="178">
        <v>9513</v>
      </c>
      <c r="J19" s="32">
        <v>11</v>
      </c>
      <c r="K19" s="263">
        <f t="shared" si="5"/>
        <v>121</v>
      </c>
      <c r="M19" s="184"/>
    </row>
    <row r="20" spans="1:13">
      <c r="A20" s="179" t="s">
        <v>429</v>
      </c>
      <c r="B20" s="179" t="s">
        <v>518</v>
      </c>
      <c r="C20" s="186">
        <v>38374</v>
      </c>
      <c r="D20" s="188">
        <f t="shared" si="4"/>
        <v>2005</v>
      </c>
      <c r="E20" s="183" t="s">
        <v>524</v>
      </c>
      <c r="F20" s="178">
        <v>1000</v>
      </c>
      <c r="G20" s="178">
        <v>20490</v>
      </c>
      <c r="H20" s="178">
        <v>10220</v>
      </c>
      <c r="I20" s="178">
        <v>10270</v>
      </c>
      <c r="J20" s="32">
        <v>12</v>
      </c>
      <c r="K20" s="263">
        <f t="shared" si="5"/>
        <v>144</v>
      </c>
      <c r="M20" s="184"/>
    </row>
    <row r="21" spans="1:13">
      <c r="A21" s="179" t="s">
        <v>423</v>
      </c>
      <c r="B21" s="179" t="s">
        <v>518</v>
      </c>
      <c r="C21" s="186">
        <v>38375</v>
      </c>
      <c r="D21" s="188">
        <f t="shared" si="4"/>
        <v>2005</v>
      </c>
      <c r="E21" s="183" t="s">
        <v>532</v>
      </c>
      <c r="F21" s="178">
        <v>500</v>
      </c>
      <c r="G21" s="178">
        <v>10445</v>
      </c>
      <c r="H21" s="178">
        <v>5110</v>
      </c>
      <c r="I21" s="178">
        <v>5335</v>
      </c>
      <c r="J21" s="32">
        <v>13</v>
      </c>
      <c r="K21" s="263">
        <f t="shared" si="5"/>
        <v>169</v>
      </c>
      <c r="M21" s="184"/>
    </row>
    <row r="22" spans="1:13">
      <c r="A22" s="179" t="s">
        <v>528</v>
      </c>
      <c r="B22" s="179" t="s">
        <v>518</v>
      </c>
      <c r="C22" s="186">
        <v>38377</v>
      </c>
      <c r="D22" s="188">
        <f t="shared" si="4"/>
        <v>2005</v>
      </c>
      <c r="E22" s="183" t="s">
        <v>533</v>
      </c>
      <c r="F22" s="178">
        <v>1000</v>
      </c>
      <c r="G22" s="178">
        <v>20670</v>
      </c>
      <c r="H22" s="178">
        <v>10220</v>
      </c>
      <c r="I22" s="178">
        <v>10450</v>
      </c>
      <c r="J22" s="32">
        <v>14</v>
      </c>
      <c r="K22" s="263">
        <f t="shared" si="5"/>
        <v>196</v>
      </c>
      <c r="M22" s="184"/>
    </row>
    <row r="23" spans="1:13">
      <c r="A23" s="179" t="s">
        <v>429</v>
      </c>
      <c r="B23" s="179" t="s">
        <v>518</v>
      </c>
      <c r="C23" s="186">
        <v>38380</v>
      </c>
      <c r="D23" s="188">
        <f t="shared" si="4"/>
        <v>2005</v>
      </c>
      <c r="E23" s="183" t="s">
        <v>530</v>
      </c>
      <c r="F23" s="178">
        <v>900</v>
      </c>
      <c r="G23" s="178">
        <v>19368</v>
      </c>
      <c r="H23" s="178">
        <v>9198</v>
      </c>
      <c r="I23" s="178">
        <v>10170</v>
      </c>
      <c r="J23" s="32">
        <v>15</v>
      </c>
      <c r="K23" s="263">
        <f t="shared" si="5"/>
        <v>225</v>
      </c>
      <c r="M23" s="184"/>
    </row>
    <row r="24" spans="1:13">
      <c r="A24" s="179" t="s">
        <v>423</v>
      </c>
      <c r="B24" s="179" t="s">
        <v>518</v>
      </c>
      <c r="C24" s="186">
        <v>38383</v>
      </c>
      <c r="D24" s="188">
        <f t="shared" si="4"/>
        <v>2005</v>
      </c>
      <c r="E24" s="183" t="s">
        <v>534</v>
      </c>
      <c r="F24" s="178">
        <v>500</v>
      </c>
      <c r="G24" s="178">
        <v>11965</v>
      </c>
      <c r="H24" s="178">
        <v>5110</v>
      </c>
      <c r="I24" s="178">
        <v>6855</v>
      </c>
      <c r="J24" s="32">
        <v>16</v>
      </c>
      <c r="K24" s="263">
        <f t="shared" si="5"/>
        <v>256</v>
      </c>
      <c r="M24" s="184"/>
    </row>
    <row r="25" spans="1:13">
      <c r="A25" s="179" t="s">
        <v>528</v>
      </c>
      <c r="B25" s="179" t="s">
        <v>517</v>
      </c>
      <c r="C25" s="186">
        <v>38385</v>
      </c>
      <c r="D25" s="188">
        <f t="shared" si="4"/>
        <v>2005</v>
      </c>
      <c r="E25" s="183" t="s">
        <v>523</v>
      </c>
      <c r="F25" s="178">
        <v>500</v>
      </c>
      <c r="G25" s="178">
        <v>10445</v>
      </c>
      <c r="H25" s="178">
        <v>4235</v>
      </c>
      <c r="I25" s="178">
        <v>6210</v>
      </c>
      <c r="J25" s="32">
        <v>17</v>
      </c>
      <c r="K25" s="263">
        <f t="shared" si="5"/>
        <v>289</v>
      </c>
      <c r="M25" s="184"/>
    </row>
    <row r="26" spans="1:13">
      <c r="A26" s="179" t="s">
        <v>429</v>
      </c>
      <c r="B26" s="179" t="s">
        <v>516</v>
      </c>
      <c r="C26" s="186">
        <v>38388</v>
      </c>
      <c r="D26" s="188">
        <f t="shared" si="4"/>
        <v>2005</v>
      </c>
      <c r="E26" s="183" t="s">
        <v>535</v>
      </c>
      <c r="F26" s="178">
        <v>200</v>
      </c>
      <c r="G26" s="178">
        <v>4380</v>
      </c>
      <c r="H26" s="178">
        <v>1968</v>
      </c>
      <c r="I26" s="178">
        <v>2412</v>
      </c>
      <c r="J26" s="32">
        <v>18</v>
      </c>
      <c r="K26" s="263">
        <f t="shared" si="5"/>
        <v>324</v>
      </c>
      <c r="M26" s="184"/>
    </row>
    <row r="27" spans="1:13">
      <c r="A27" s="179" t="s">
        <v>429</v>
      </c>
      <c r="B27" s="179" t="s">
        <v>516</v>
      </c>
      <c r="C27" s="186">
        <v>38390</v>
      </c>
      <c r="D27" s="188">
        <f t="shared" si="4"/>
        <v>2005</v>
      </c>
      <c r="E27" s="183" t="s">
        <v>523</v>
      </c>
      <c r="F27" s="178">
        <v>900</v>
      </c>
      <c r="G27" s="178">
        <v>21555</v>
      </c>
      <c r="H27" s="178">
        <v>8856</v>
      </c>
      <c r="I27" s="178">
        <v>12699</v>
      </c>
      <c r="J27" s="32">
        <v>19</v>
      </c>
      <c r="K27" s="263">
        <f t="shared" si="5"/>
        <v>361</v>
      </c>
      <c r="M27" s="184"/>
    </row>
    <row r="28" spans="1:13">
      <c r="A28" s="179" t="s">
        <v>429</v>
      </c>
      <c r="B28" s="179" t="s">
        <v>516</v>
      </c>
      <c r="C28" s="186">
        <v>38394</v>
      </c>
      <c r="D28" s="188">
        <f t="shared" si="4"/>
        <v>2005</v>
      </c>
      <c r="E28" s="183" t="s">
        <v>532</v>
      </c>
      <c r="F28" s="178">
        <v>500</v>
      </c>
      <c r="G28" s="178">
        <v>11435</v>
      </c>
      <c r="H28" s="178">
        <v>4920</v>
      </c>
      <c r="I28" s="178">
        <v>6515</v>
      </c>
      <c r="J28" s="32">
        <v>20</v>
      </c>
      <c r="K28" s="263">
        <f t="shared" si="5"/>
        <v>400</v>
      </c>
      <c r="M28" s="184"/>
    </row>
    <row r="29" spans="1:13">
      <c r="A29" s="179" t="s">
        <v>528</v>
      </c>
      <c r="B29" s="179" t="s">
        <v>517</v>
      </c>
      <c r="C29" s="186">
        <v>38397</v>
      </c>
      <c r="D29" s="188">
        <f t="shared" si="4"/>
        <v>2005</v>
      </c>
      <c r="E29" s="183" t="s">
        <v>531</v>
      </c>
      <c r="F29" s="178">
        <v>700</v>
      </c>
      <c r="G29" s="178">
        <v>13734</v>
      </c>
      <c r="H29" s="178">
        <v>5929</v>
      </c>
      <c r="I29" s="178">
        <v>7805</v>
      </c>
      <c r="J29" s="32">
        <v>21</v>
      </c>
      <c r="K29" s="263">
        <f t="shared" si="5"/>
        <v>441</v>
      </c>
      <c r="M29" s="184"/>
    </row>
    <row r="30" spans="1:13">
      <c r="A30" s="179" t="s">
        <v>429</v>
      </c>
      <c r="B30" s="179" t="s">
        <v>517</v>
      </c>
      <c r="C30" s="186">
        <v>38398</v>
      </c>
      <c r="D30" s="188">
        <f t="shared" si="4"/>
        <v>2005</v>
      </c>
      <c r="E30" s="183" t="s">
        <v>534</v>
      </c>
      <c r="F30" s="178">
        <v>500</v>
      </c>
      <c r="G30" s="178">
        <v>8725</v>
      </c>
      <c r="H30" s="178">
        <v>4235</v>
      </c>
      <c r="I30" s="178">
        <v>4490</v>
      </c>
      <c r="J30" s="32">
        <v>22</v>
      </c>
      <c r="K30" s="263">
        <f t="shared" si="5"/>
        <v>484</v>
      </c>
      <c r="M30" s="184"/>
    </row>
    <row r="31" spans="1:13">
      <c r="A31" s="179" t="s">
        <v>429</v>
      </c>
      <c r="B31" s="179" t="s">
        <v>518</v>
      </c>
      <c r="C31" s="186">
        <v>38400</v>
      </c>
      <c r="D31" s="188">
        <f t="shared" si="4"/>
        <v>2005</v>
      </c>
      <c r="E31" s="183" t="s">
        <v>529</v>
      </c>
      <c r="F31" s="178">
        <v>1000</v>
      </c>
      <c r="G31" s="178">
        <v>25060</v>
      </c>
      <c r="H31" s="178">
        <v>10220</v>
      </c>
      <c r="I31" s="178">
        <v>14840</v>
      </c>
      <c r="J31" s="32">
        <v>23</v>
      </c>
      <c r="K31" s="263">
        <f t="shared" si="5"/>
        <v>529</v>
      </c>
      <c r="M31" s="184"/>
    </row>
    <row r="32" spans="1:13">
      <c r="A32" s="179" t="s">
        <v>423</v>
      </c>
      <c r="B32" s="179" t="s">
        <v>516</v>
      </c>
      <c r="C32" s="186">
        <v>38400</v>
      </c>
      <c r="D32" s="188">
        <f t="shared" si="4"/>
        <v>2005</v>
      </c>
      <c r="E32" s="183" t="s">
        <v>536</v>
      </c>
      <c r="F32" s="178">
        <v>800</v>
      </c>
      <c r="G32" s="178">
        <v>19344</v>
      </c>
      <c r="H32" s="178">
        <v>7872</v>
      </c>
      <c r="I32" s="178">
        <v>11472</v>
      </c>
      <c r="J32" s="32">
        <v>24</v>
      </c>
      <c r="K32" s="263">
        <f t="shared" si="5"/>
        <v>576</v>
      </c>
      <c r="M32" s="184"/>
    </row>
    <row r="33" spans="1:16">
      <c r="A33" s="179" t="s">
        <v>423</v>
      </c>
      <c r="B33" s="179" t="s">
        <v>517</v>
      </c>
      <c r="C33" s="186">
        <v>38402</v>
      </c>
      <c r="D33" s="188">
        <f t="shared" si="4"/>
        <v>2005</v>
      </c>
      <c r="E33" s="183" t="s">
        <v>532</v>
      </c>
      <c r="F33" s="178">
        <v>800</v>
      </c>
      <c r="G33" s="178">
        <v>13552</v>
      </c>
      <c r="H33" s="178">
        <v>6776</v>
      </c>
      <c r="I33" s="178">
        <v>6776</v>
      </c>
      <c r="J33" s="32">
        <v>25</v>
      </c>
      <c r="K33" s="263">
        <f t="shared" si="5"/>
        <v>625</v>
      </c>
      <c r="M33" s="184"/>
    </row>
    <row r="34" spans="1:16">
      <c r="A34" s="179" t="s">
        <v>528</v>
      </c>
      <c r="B34" s="179" t="s">
        <v>518</v>
      </c>
      <c r="C34" s="186">
        <v>38403</v>
      </c>
      <c r="D34" s="188">
        <f t="shared" si="4"/>
        <v>2005</v>
      </c>
      <c r="E34" s="183" t="s">
        <v>530</v>
      </c>
      <c r="F34" s="178">
        <v>100</v>
      </c>
      <c r="G34" s="178">
        <v>2058</v>
      </c>
      <c r="H34" s="178">
        <v>1022</v>
      </c>
      <c r="I34" s="178">
        <v>1036</v>
      </c>
      <c r="J34" s="32">
        <v>26</v>
      </c>
      <c r="K34" s="263">
        <f t="shared" si="5"/>
        <v>676</v>
      </c>
      <c r="M34" s="184"/>
    </row>
    <row r="35" spans="1:16">
      <c r="A35" s="179" t="s">
        <v>429</v>
      </c>
      <c r="B35" s="179" t="s">
        <v>517</v>
      </c>
      <c r="C35" s="186">
        <v>38406</v>
      </c>
      <c r="D35" s="188">
        <f t="shared" si="4"/>
        <v>2005</v>
      </c>
      <c r="E35" s="183" t="s">
        <v>529</v>
      </c>
      <c r="F35" s="178">
        <v>300</v>
      </c>
      <c r="G35" s="178">
        <v>6138</v>
      </c>
      <c r="H35" s="178">
        <v>2541</v>
      </c>
      <c r="I35" s="178">
        <v>3597</v>
      </c>
      <c r="J35" s="32">
        <v>27</v>
      </c>
      <c r="K35" s="263">
        <f t="shared" si="5"/>
        <v>729</v>
      </c>
      <c r="M35" s="184"/>
    </row>
    <row r="36" spans="1:16">
      <c r="A36" s="179" t="s">
        <v>429</v>
      </c>
      <c r="B36" s="179" t="s">
        <v>518</v>
      </c>
      <c r="C36" s="186">
        <v>38406</v>
      </c>
      <c r="D36" s="188">
        <f t="shared" si="4"/>
        <v>2005</v>
      </c>
      <c r="E36" s="183" t="s">
        <v>523</v>
      </c>
      <c r="F36" s="178">
        <v>1000</v>
      </c>
      <c r="G36" s="178">
        <v>20940</v>
      </c>
      <c r="H36" s="178">
        <v>10220</v>
      </c>
      <c r="I36" s="178">
        <v>10720</v>
      </c>
      <c r="J36" s="32">
        <v>28</v>
      </c>
      <c r="K36" s="263">
        <f t="shared" si="5"/>
        <v>784</v>
      </c>
      <c r="N36" s="32">
        <f>SUM(N9:N35)</f>
        <v>0</v>
      </c>
      <c r="O36" s="32">
        <f>SUM(O9:O35)</f>
        <v>0</v>
      </c>
      <c r="P36" s="32">
        <f>SUM(P9:P35)</f>
        <v>0</v>
      </c>
    </row>
    <row r="37" spans="1:16">
      <c r="A37" s="179" t="s">
        <v>429</v>
      </c>
      <c r="B37" s="179" t="s">
        <v>518</v>
      </c>
      <c r="C37" s="186">
        <v>38414</v>
      </c>
      <c r="D37" s="188">
        <f t="shared" si="4"/>
        <v>2005</v>
      </c>
      <c r="E37" s="183" t="s">
        <v>529</v>
      </c>
      <c r="F37" s="178">
        <v>1000</v>
      </c>
      <c r="G37" s="178">
        <v>22810</v>
      </c>
      <c r="H37" s="178">
        <v>10220</v>
      </c>
      <c r="I37" s="178">
        <v>12590</v>
      </c>
      <c r="J37" s="32">
        <v>29</v>
      </c>
      <c r="K37" s="263">
        <f t="shared" si="5"/>
        <v>841</v>
      </c>
    </row>
    <row r="38" spans="1:16">
      <c r="A38" s="179" t="s">
        <v>528</v>
      </c>
      <c r="B38" s="179" t="s">
        <v>517</v>
      </c>
      <c r="C38" s="186">
        <v>38416</v>
      </c>
      <c r="D38" s="188">
        <f t="shared" si="4"/>
        <v>2005</v>
      </c>
      <c r="E38" s="183" t="s">
        <v>530</v>
      </c>
      <c r="F38" s="178">
        <v>400</v>
      </c>
      <c r="G38" s="178">
        <v>7520</v>
      </c>
      <c r="H38" s="178">
        <v>3388</v>
      </c>
      <c r="I38" s="178">
        <v>4132</v>
      </c>
      <c r="J38" s="32">
        <v>30</v>
      </c>
      <c r="K38" s="263">
        <f t="shared" si="5"/>
        <v>900</v>
      </c>
    </row>
    <row r="39" spans="1:16">
      <c r="A39" s="179" t="s">
        <v>423</v>
      </c>
      <c r="B39" s="179" t="s">
        <v>518</v>
      </c>
      <c r="C39" s="186">
        <v>38419</v>
      </c>
      <c r="D39" s="188">
        <f t="shared" si="4"/>
        <v>2005</v>
      </c>
      <c r="E39" s="183" t="s">
        <v>537</v>
      </c>
      <c r="F39" s="178">
        <v>300</v>
      </c>
      <c r="G39" s="178">
        <v>6867</v>
      </c>
      <c r="H39" s="178">
        <v>3066</v>
      </c>
      <c r="I39" s="178">
        <v>3801</v>
      </c>
      <c r="J39" s="32">
        <v>31</v>
      </c>
      <c r="K39" s="263">
        <f t="shared" si="5"/>
        <v>961</v>
      </c>
    </row>
    <row r="40" spans="1:16">
      <c r="A40" s="179" t="s">
        <v>429</v>
      </c>
      <c r="B40" s="179" t="s">
        <v>516</v>
      </c>
      <c r="C40" s="186">
        <v>38419</v>
      </c>
      <c r="D40" s="188">
        <f t="shared" si="4"/>
        <v>2005</v>
      </c>
      <c r="E40" s="183" t="s">
        <v>538</v>
      </c>
      <c r="F40" s="178">
        <v>900</v>
      </c>
      <c r="G40" s="178">
        <v>17757</v>
      </c>
      <c r="H40" s="178">
        <v>8856</v>
      </c>
      <c r="I40" s="178">
        <v>8901</v>
      </c>
      <c r="J40" s="32">
        <v>32</v>
      </c>
      <c r="K40" s="263">
        <f t="shared" si="5"/>
        <v>1024</v>
      </c>
    </row>
    <row r="41" spans="1:16">
      <c r="A41" s="179" t="s">
        <v>528</v>
      </c>
      <c r="B41" s="179" t="s">
        <v>518</v>
      </c>
      <c r="C41" s="186">
        <v>38421</v>
      </c>
      <c r="D41" s="188">
        <f t="shared" si="4"/>
        <v>2005</v>
      </c>
      <c r="E41" s="183" t="s">
        <v>532</v>
      </c>
      <c r="F41" s="178">
        <v>900</v>
      </c>
      <c r="G41" s="178">
        <v>21438</v>
      </c>
      <c r="H41" s="178">
        <v>9198</v>
      </c>
      <c r="I41" s="178">
        <v>12240</v>
      </c>
      <c r="J41" s="32">
        <v>33</v>
      </c>
      <c r="K41" s="263">
        <f t="shared" si="5"/>
        <v>1089</v>
      </c>
    </row>
    <row r="42" spans="1:16">
      <c r="A42" s="179" t="s">
        <v>423</v>
      </c>
      <c r="B42" s="179" t="s">
        <v>518</v>
      </c>
      <c r="C42" s="186">
        <v>38422</v>
      </c>
      <c r="D42" s="188">
        <f t="shared" si="4"/>
        <v>2005</v>
      </c>
      <c r="E42" s="183" t="s">
        <v>531</v>
      </c>
      <c r="F42" s="178">
        <v>200</v>
      </c>
      <c r="G42" s="178">
        <v>5002</v>
      </c>
      <c r="H42" s="178">
        <v>2044</v>
      </c>
      <c r="I42" s="178">
        <v>2958</v>
      </c>
      <c r="J42" s="32">
        <v>34</v>
      </c>
      <c r="K42" s="263">
        <f t="shared" si="5"/>
        <v>1156</v>
      </c>
    </row>
    <row r="43" spans="1:16">
      <c r="A43" s="179" t="s">
        <v>423</v>
      </c>
      <c r="B43" s="179" t="s">
        <v>518</v>
      </c>
      <c r="C43" s="186">
        <v>38424</v>
      </c>
      <c r="D43" s="188">
        <f t="shared" si="4"/>
        <v>2005</v>
      </c>
      <c r="E43" s="183" t="s">
        <v>524</v>
      </c>
      <c r="F43" s="178">
        <v>800</v>
      </c>
      <c r="G43" s="178">
        <v>19376</v>
      </c>
      <c r="H43" s="178">
        <v>8176</v>
      </c>
      <c r="I43" s="178">
        <v>11200</v>
      </c>
      <c r="J43" s="32">
        <v>35</v>
      </c>
      <c r="K43" s="263">
        <f t="shared" si="5"/>
        <v>1225</v>
      </c>
    </row>
    <row r="44" spans="1:16">
      <c r="A44" s="179" t="s">
        <v>423</v>
      </c>
      <c r="B44" s="179" t="s">
        <v>517</v>
      </c>
      <c r="C44" s="186">
        <v>38425</v>
      </c>
      <c r="D44" s="188">
        <f t="shared" si="4"/>
        <v>2005</v>
      </c>
      <c r="E44" s="183" t="s">
        <v>523</v>
      </c>
      <c r="F44" s="178">
        <v>300</v>
      </c>
      <c r="G44" s="178">
        <v>6069</v>
      </c>
      <c r="H44" s="178">
        <v>2541</v>
      </c>
      <c r="I44" s="178">
        <v>3528</v>
      </c>
      <c r="J44" s="32">
        <v>36</v>
      </c>
      <c r="K44" s="263">
        <f t="shared" si="5"/>
        <v>1296</v>
      </c>
    </row>
    <row r="45" spans="1:16">
      <c r="A45" s="179" t="s">
        <v>423</v>
      </c>
      <c r="B45" s="179" t="s">
        <v>518</v>
      </c>
      <c r="C45" s="186">
        <v>38429</v>
      </c>
      <c r="D45" s="188">
        <f t="shared" si="4"/>
        <v>2005</v>
      </c>
      <c r="E45" s="183" t="s">
        <v>532</v>
      </c>
      <c r="F45" s="178">
        <v>500</v>
      </c>
      <c r="G45" s="178">
        <v>12760</v>
      </c>
      <c r="H45" s="178">
        <v>5110</v>
      </c>
      <c r="I45" s="178">
        <v>7650</v>
      </c>
      <c r="J45" s="32">
        <v>37</v>
      </c>
      <c r="K45" s="263">
        <f t="shared" si="5"/>
        <v>1369</v>
      </c>
    </row>
    <row r="46" spans="1:16">
      <c r="A46" s="179" t="s">
        <v>528</v>
      </c>
      <c r="B46" s="179" t="s">
        <v>516</v>
      </c>
      <c r="C46" s="186">
        <v>38430</v>
      </c>
      <c r="D46" s="188">
        <f t="shared" si="4"/>
        <v>2005</v>
      </c>
      <c r="E46" s="183" t="s">
        <v>530</v>
      </c>
      <c r="F46" s="178">
        <v>800</v>
      </c>
      <c r="G46" s="178">
        <v>19424</v>
      </c>
      <c r="H46" s="178">
        <v>7872</v>
      </c>
      <c r="I46" s="178">
        <v>11552</v>
      </c>
      <c r="J46" s="32">
        <v>38</v>
      </c>
      <c r="K46" s="263">
        <f t="shared" si="5"/>
        <v>1444</v>
      </c>
    </row>
    <row r="47" spans="1:16">
      <c r="A47" s="179" t="s">
        <v>429</v>
      </c>
      <c r="B47" s="179" t="s">
        <v>517</v>
      </c>
      <c r="C47" s="186">
        <v>38430</v>
      </c>
      <c r="D47" s="188">
        <f t="shared" si="4"/>
        <v>2005</v>
      </c>
      <c r="E47" s="183" t="s">
        <v>539</v>
      </c>
      <c r="F47" s="178">
        <v>1000</v>
      </c>
      <c r="G47" s="178">
        <v>17840</v>
      </c>
      <c r="H47" s="178">
        <v>8470</v>
      </c>
      <c r="I47" s="178">
        <v>9370</v>
      </c>
      <c r="J47" s="32">
        <v>39</v>
      </c>
      <c r="K47" s="263">
        <f t="shared" si="5"/>
        <v>1521</v>
      </c>
    </row>
    <row r="48" spans="1:16">
      <c r="A48" s="179" t="s">
        <v>528</v>
      </c>
      <c r="B48" s="179" t="s">
        <v>518</v>
      </c>
      <c r="C48" s="186">
        <v>38430</v>
      </c>
      <c r="D48" s="188">
        <f t="shared" si="4"/>
        <v>2005</v>
      </c>
      <c r="E48" s="183" t="s">
        <v>532</v>
      </c>
      <c r="F48" s="178">
        <v>200</v>
      </c>
      <c r="G48" s="178">
        <v>4690</v>
      </c>
      <c r="H48" s="178">
        <v>2044</v>
      </c>
      <c r="I48" s="178">
        <v>2646</v>
      </c>
      <c r="J48" s="32">
        <v>40</v>
      </c>
      <c r="K48" s="263">
        <f t="shared" si="5"/>
        <v>1600</v>
      </c>
    </row>
    <row r="49" spans="1:11">
      <c r="A49" s="179" t="s">
        <v>528</v>
      </c>
      <c r="B49" s="179" t="s">
        <v>517</v>
      </c>
      <c r="C49" s="186">
        <v>38431</v>
      </c>
      <c r="D49" s="188">
        <f t="shared" si="4"/>
        <v>2005</v>
      </c>
      <c r="E49" s="183" t="s">
        <v>523</v>
      </c>
      <c r="F49" s="178">
        <v>100</v>
      </c>
      <c r="G49" s="178">
        <v>1861</v>
      </c>
      <c r="H49" s="178">
        <v>847</v>
      </c>
      <c r="I49" s="178">
        <v>1014</v>
      </c>
      <c r="J49" s="32">
        <v>41</v>
      </c>
      <c r="K49" s="263">
        <f t="shared" si="5"/>
        <v>1681</v>
      </c>
    </row>
    <row r="50" spans="1:11">
      <c r="A50" s="179" t="s">
        <v>423</v>
      </c>
      <c r="B50" s="179" t="s">
        <v>516</v>
      </c>
      <c r="C50" s="186">
        <v>38432</v>
      </c>
      <c r="D50" s="188">
        <f t="shared" si="4"/>
        <v>2005</v>
      </c>
      <c r="E50" s="183" t="s">
        <v>534</v>
      </c>
      <c r="F50" s="178">
        <v>200</v>
      </c>
      <c r="G50" s="178">
        <v>3942</v>
      </c>
      <c r="H50" s="178">
        <v>1968</v>
      </c>
      <c r="I50" s="178">
        <v>1974</v>
      </c>
      <c r="J50" s="32">
        <v>42</v>
      </c>
      <c r="K50" s="263">
        <f t="shared" si="5"/>
        <v>1764</v>
      </c>
    </row>
    <row r="51" spans="1:11">
      <c r="A51" s="179" t="s">
        <v>528</v>
      </c>
      <c r="B51" s="179" t="s">
        <v>517</v>
      </c>
      <c r="C51" s="186">
        <v>38433</v>
      </c>
      <c r="D51" s="188">
        <f t="shared" si="4"/>
        <v>2005</v>
      </c>
      <c r="E51" s="183" t="s">
        <v>523</v>
      </c>
      <c r="F51" s="178">
        <v>500</v>
      </c>
      <c r="G51" s="178">
        <v>9475</v>
      </c>
      <c r="H51" s="178">
        <v>4235</v>
      </c>
      <c r="I51" s="178">
        <v>5240</v>
      </c>
      <c r="J51" s="32">
        <v>43</v>
      </c>
      <c r="K51" s="263">
        <f t="shared" si="5"/>
        <v>1849</v>
      </c>
    </row>
    <row r="52" spans="1:11">
      <c r="A52" s="179" t="s">
        <v>429</v>
      </c>
      <c r="B52" s="179" t="s">
        <v>517</v>
      </c>
      <c r="C52" s="186">
        <v>38436</v>
      </c>
      <c r="D52" s="188">
        <f t="shared" si="4"/>
        <v>2005</v>
      </c>
      <c r="E52" s="183" t="s">
        <v>537</v>
      </c>
      <c r="F52" s="178">
        <v>700</v>
      </c>
      <c r="G52" s="178">
        <v>14686</v>
      </c>
      <c r="H52" s="178">
        <v>5929</v>
      </c>
      <c r="I52" s="178">
        <v>8757</v>
      </c>
      <c r="J52" s="32">
        <v>44</v>
      </c>
      <c r="K52" s="263">
        <f t="shared" si="5"/>
        <v>1936</v>
      </c>
    </row>
    <row r="53" spans="1:11">
      <c r="A53" s="179" t="s">
        <v>429</v>
      </c>
      <c r="B53" s="179" t="s">
        <v>518</v>
      </c>
      <c r="C53" s="186">
        <v>38436</v>
      </c>
      <c r="D53" s="188">
        <f t="shared" si="4"/>
        <v>2005</v>
      </c>
      <c r="E53" s="183" t="s">
        <v>531</v>
      </c>
      <c r="F53" s="178">
        <v>400</v>
      </c>
      <c r="G53" s="178">
        <v>9704</v>
      </c>
      <c r="H53" s="178">
        <v>4088</v>
      </c>
      <c r="I53" s="178">
        <v>5616</v>
      </c>
      <c r="J53" s="32">
        <v>45</v>
      </c>
      <c r="K53" s="263">
        <f t="shared" si="5"/>
        <v>2025</v>
      </c>
    </row>
    <row r="54" spans="1:11">
      <c r="A54" s="179" t="s">
        <v>528</v>
      </c>
      <c r="B54" s="179" t="s">
        <v>516</v>
      </c>
      <c r="C54" s="186">
        <v>38436</v>
      </c>
      <c r="D54" s="188">
        <f t="shared" si="4"/>
        <v>2005</v>
      </c>
      <c r="E54" s="183" t="s">
        <v>534</v>
      </c>
      <c r="F54" s="178">
        <v>1000</v>
      </c>
      <c r="G54" s="178">
        <v>20480</v>
      </c>
      <c r="H54" s="178">
        <v>9840</v>
      </c>
      <c r="I54" s="178">
        <v>10640</v>
      </c>
      <c r="J54" s="32">
        <v>46</v>
      </c>
      <c r="K54" s="263">
        <f t="shared" si="5"/>
        <v>2116</v>
      </c>
    </row>
    <row r="55" spans="1:11">
      <c r="A55" s="179" t="s">
        <v>528</v>
      </c>
      <c r="B55" s="179" t="s">
        <v>518</v>
      </c>
      <c r="C55" s="186">
        <v>38439</v>
      </c>
      <c r="D55" s="188">
        <f t="shared" si="4"/>
        <v>2005</v>
      </c>
      <c r="E55" s="183" t="s">
        <v>534</v>
      </c>
      <c r="F55" s="178">
        <v>700</v>
      </c>
      <c r="G55" s="178">
        <v>17367</v>
      </c>
      <c r="H55" s="178">
        <v>7154</v>
      </c>
      <c r="I55" s="178">
        <v>10213</v>
      </c>
      <c r="J55" s="32">
        <v>47</v>
      </c>
      <c r="K55" s="263">
        <f t="shared" si="5"/>
        <v>2209</v>
      </c>
    </row>
    <row r="56" spans="1:11">
      <c r="A56" s="179" t="s">
        <v>429</v>
      </c>
      <c r="B56" s="179" t="s">
        <v>518</v>
      </c>
      <c r="C56" s="186">
        <v>38441</v>
      </c>
      <c r="D56" s="188">
        <f t="shared" si="4"/>
        <v>2005</v>
      </c>
      <c r="E56" s="183" t="s">
        <v>537</v>
      </c>
      <c r="F56" s="178">
        <v>900</v>
      </c>
      <c r="G56" s="178">
        <v>18684</v>
      </c>
      <c r="H56" s="178">
        <v>9198</v>
      </c>
      <c r="I56" s="178">
        <v>9486</v>
      </c>
      <c r="J56" s="32">
        <v>48</v>
      </c>
      <c r="K56" s="263">
        <f t="shared" si="5"/>
        <v>2304</v>
      </c>
    </row>
    <row r="57" spans="1:11">
      <c r="A57" s="179" t="s">
        <v>429</v>
      </c>
      <c r="B57" s="179" t="s">
        <v>516</v>
      </c>
      <c r="C57" s="186">
        <v>38441</v>
      </c>
      <c r="D57" s="188">
        <f t="shared" si="4"/>
        <v>2005</v>
      </c>
      <c r="E57" s="183" t="s">
        <v>531</v>
      </c>
      <c r="F57" s="178">
        <v>800</v>
      </c>
      <c r="G57" s="178">
        <v>16232</v>
      </c>
      <c r="H57" s="178">
        <v>7872</v>
      </c>
      <c r="I57" s="178">
        <v>8360</v>
      </c>
      <c r="J57" s="32">
        <v>49</v>
      </c>
      <c r="K57" s="263">
        <f t="shared" si="5"/>
        <v>2401</v>
      </c>
    </row>
    <row r="58" spans="1:11">
      <c r="A58" s="179" t="s">
        <v>423</v>
      </c>
      <c r="B58" s="179" t="s">
        <v>516</v>
      </c>
      <c r="C58" s="186">
        <v>38442</v>
      </c>
      <c r="D58" s="188">
        <f t="shared" si="4"/>
        <v>2005</v>
      </c>
      <c r="E58" s="183" t="s">
        <v>524</v>
      </c>
      <c r="F58" s="178">
        <v>800</v>
      </c>
      <c r="G58" s="178">
        <v>17160</v>
      </c>
      <c r="H58" s="178">
        <v>7872</v>
      </c>
      <c r="I58" s="178">
        <v>9288</v>
      </c>
      <c r="J58" s="32">
        <v>50</v>
      </c>
      <c r="K58" s="263">
        <f t="shared" si="5"/>
        <v>2500</v>
      </c>
    </row>
    <row r="59" spans="1:11">
      <c r="A59" s="179" t="s">
        <v>423</v>
      </c>
      <c r="B59" s="179" t="s">
        <v>518</v>
      </c>
      <c r="C59" s="186">
        <v>38444</v>
      </c>
      <c r="D59" s="188">
        <f t="shared" si="4"/>
        <v>2005</v>
      </c>
      <c r="E59" s="183" t="s">
        <v>526</v>
      </c>
      <c r="F59" s="178">
        <v>1000</v>
      </c>
      <c r="G59" s="178">
        <v>24130</v>
      </c>
      <c r="H59" s="178">
        <v>10220</v>
      </c>
      <c r="I59" s="178">
        <v>13910</v>
      </c>
      <c r="J59" s="32">
        <v>51</v>
      </c>
      <c r="K59" s="263">
        <f t="shared" si="5"/>
        <v>2601</v>
      </c>
    </row>
    <row r="60" spans="1:11">
      <c r="A60" s="179" t="s">
        <v>429</v>
      </c>
      <c r="B60" s="179" t="s">
        <v>517</v>
      </c>
      <c r="C60" s="186">
        <v>38445</v>
      </c>
      <c r="D60" s="188">
        <f t="shared" si="4"/>
        <v>2005</v>
      </c>
      <c r="E60" s="183" t="s">
        <v>530</v>
      </c>
      <c r="F60" s="178">
        <v>900</v>
      </c>
      <c r="G60" s="178">
        <v>15759</v>
      </c>
      <c r="H60" s="178">
        <v>7623</v>
      </c>
      <c r="I60" s="178">
        <v>8136</v>
      </c>
      <c r="J60" s="32">
        <v>52</v>
      </c>
      <c r="K60" s="263">
        <f t="shared" si="5"/>
        <v>2704</v>
      </c>
    </row>
    <row r="61" spans="1:11">
      <c r="A61" s="179" t="s">
        <v>429</v>
      </c>
      <c r="B61" s="179" t="s">
        <v>517</v>
      </c>
      <c r="C61" s="186">
        <v>38446</v>
      </c>
      <c r="D61" s="188">
        <f t="shared" si="4"/>
        <v>2005</v>
      </c>
      <c r="E61" s="183" t="s">
        <v>532</v>
      </c>
      <c r="F61" s="178">
        <v>1000</v>
      </c>
      <c r="G61" s="178">
        <v>18660</v>
      </c>
      <c r="H61" s="178">
        <v>8470</v>
      </c>
      <c r="I61" s="178">
        <v>10190</v>
      </c>
      <c r="J61" s="32">
        <v>53</v>
      </c>
      <c r="K61" s="263">
        <f t="shared" si="5"/>
        <v>2809</v>
      </c>
    </row>
    <row r="62" spans="1:11">
      <c r="A62" s="179" t="s">
        <v>429</v>
      </c>
      <c r="B62" s="179" t="s">
        <v>518</v>
      </c>
      <c r="C62" s="186">
        <v>38448</v>
      </c>
      <c r="D62" s="188">
        <f t="shared" si="4"/>
        <v>2005</v>
      </c>
      <c r="E62" s="183" t="s">
        <v>533</v>
      </c>
      <c r="F62" s="178">
        <v>700</v>
      </c>
      <c r="G62" s="178">
        <v>15435</v>
      </c>
      <c r="H62" s="178">
        <v>7154</v>
      </c>
      <c r="I62" s="178">
        <v>8281</v>
      </c>
      <c r="J62" s="32">
        <v>54</v>
      </c>
      <c r="K62" s="263">
        <f t="shared" si="5"/>
        <v>2916</v>
      </c>
    </row>
    <row r="63" spans="1:11">
      <c r="A63" s="179" t="s">
        <v>528</v>
      </c>
      <c r="B63" s="179" t="s">
        <v>517</v>
      </c>
      <c r="C63" s="186">
        <v>38450</v>
      </c>
      <c r="D63" s="188">
        <f t="shared" si="4"/>
        <v>2005</v>
      </c>
      <c r="E63" s="183" t="s">
        <v>531</v>
      </c>
      <c r="F63" s="178">
        <v>900</v>
      </c>
      <c r="G63" s="178">
        <v>15651</v>
      </c>
      <c r="H63" s="178">
        <v>7623</v>
      </c>
      <c r="I63" s="178">
        <v>8028</v>
      </c>
      <c r="J63" s="32">
        <v>55</v>
      </c>
      <c r="K63" s="263">
        <f t="shared" si="5"/>
        <v>3025</v>
      </c>
    </row>
    <row r="64" spans="1:11">
      <c r="A64" s="179" t="s">
        <v>423</v>
      </c>
      <c r="B64" s="179" t="s">
        <v>517</v>
      </c>
      <c r="C64" s="186">
        <v>38451</v>
      </c>
      <c r="D64" s="188">
        <f t="shared" si="4"/>
        <v>2005</v>
      </c>
      <c r="E64" s="183" t="s">
        <v>529</v>
      </c>
      <c r="F64" s="178">
        <v>800</v>
      </c>
      <c r="G64" s="178">
        <v>14408</v>
      </c>
      <c r="H64" s="178">
        <v>6776</v>
      </c>
      <c r="I64" s="178">
        <v>7632</v>
      </c>
      <c r="J64" s="32">
        <v>56</v>
      </c>
      <c r="K64" s="263">
        <f t="shared" si="5"/>
        <v>3136</v>
      </c>
    </row>
    <row r="65" spans="1:11">
      <c r="A65" s="179" t="s">
        <v>429</v>
      </c>
      <c r="B65" s="179" t="s">
        <v>517</v>
      </c>
      <c r="C65" s="186">
        <v>38454</v>
      </c>
      <c r="D65" s="188">
        <f t="shared" si="4"/>
        <v>2005</v>
      </c>
      <c r="E65" s="183" t="s">
        <v>534</v>
      </c>
      <c r="F65" s="178">
        <v>300</v>
      </c>
      <c r="G65" s="178">
        <v>5967</v>
      </c>
      <c r="H65" s="178">
        <v>2541</v>
      </c>
      <c r="I65" s="178">
        <v>3426</v>
      </c>
      <c r="J65" s="32">
        <v>57</v>
      </c>
      <c r="K65" s="263">
        <f t="shared" si="5"/>
        <v>3249</v>
      </c>
    </row>
    <row r="66" spans="1:11">
      <c r="A66" s="179" t="s">
        <v>528</v>
      </c>
      <c r="B66" s="179" t="s">
        <v>516</v>
      </c>
      <c r="C66" s="186">
        <v>38457</v>
      </c>
      <c r="D66" s="188">
        <f t="shared" si="4"/>
        <v>2005</v>
      </c>
      <c r="E66" s="183" t="s">
        <v>531</v>
      </c>
      <c r="F66" s="178">
        <v>700</v>
      </c>
      <c r="G66" s="178">
        <v>16303</v>
      </c>
      <c r="H66" s="178">
        <v>6888</v>
      </c>
      <c r="I66" s="178">
        <v>9415</v>
      </c>
      <c r="J66" s="32">
        <v>58</v>
      </c>
      <c r="K66" s="263">
        <f t="shared" si="5"/>
        <v>3364</v>
      </c>
    </row>
    <row r="67" spans="1:11">
      <c r="A67" s="179" t="s">
        <v>429</v>
      </c>
      <c r="B67" s="179" t="s">
        <v>517</v>
      </c>
      <c r="C67" s="186">
        <v>38458</v>
      </c>
      <c r="D67" s="188">
        <f t="shared" si="4"/>
        <v>2005</v>
      </c>
      <c r="E67" s="183" t="s">
        <v>523</v>
      </c>
      <c r="F67" s="178">
        <v>500</v>
      </c>
      <c r="G67" s="178">
        <v>9380</v>
      </c>
      <c r="H67" s="178">
        <v>4235</v>
      </c>
      <c r="I67" s="178">
        <v>5145</v>
      </c>
      <c r="J67" s="32">
        <v>59</v>
      </c>
      <c r="K67" s="263">
        <f t="shared" si="5"/>
        <v>3481</v>
      </c>
    </row>
    <row r="68" spans="1:11">
      <c r="A68" s="179" t="s">
        <v>429</v>
      </c>
      <c r="B68" s="179" t="s">
        <v>517</v>
      </c>
      <c r="C68" s="186">
        <v>38458</v>
      </c>
      <c r="D68" s="188">
        <f t="shared" si="4"/>
        <v>2005</v>
      </c>
      <c r="E68" s="183" t="s">
        <v>532</v>
      </c>
      <c r="F68" s="178">
        <v>100</v>
      </c>
      <c r="G68" s="178">
        <v>2066</v>
      </c>
      <c r="H68" s="178">
        <v>847</v>
      </c>
      <c r="I68" s="178">
        <v>1219</v>
      </c>
      <c r="J68" s="32">
        <v>60</v>
      </c>
      <c r="K68" s="263">
        <f t="shared" si="5"/>
        <v>3600</v>
      </c>
    </row>
    <row r="69" spans="1:11">
      <c r="A69" s="179" t="s">
        <v>528</v>
      </c>
      <c r="B69" s="179" t="s">
        <v>517</v>
      </c>
      <c r="C69" s="186">
        <v>38459</v>
      </c>
      <c r="D69" s="188">
        <f t="shared" si="4"/>
        <v>2005</v>
      </c>
      <c r="E69" s="183" t="s">
        <v>529</v>
      </c>
      <c r="F69" s="178">
        <v>500</v>
      </c>
      <c r="G69" s="178">
        <v>10460</v>
      </c>
      <c r="H69" s="178">
        <v>4235</v>
      </c>
      <c r="I69" s="178">
        <v>6225</v>
      </c>
      <c r="J69" s="32">
        <v>61</v>
      </c>
      <c r="K69" s="263">
        <f t="shared" si="5"/>
        <v>3721</v>
      </c>
    </row>
    <row r="70" spans="1:11">
      <c r="A70" s="179" t="s">
        <v>423</v>
      </c>
      <c r="B70" s="179" t="s">
        <v>518</v>
      </c>
      <c r="C70" s="186">
        <v>38460</v>
      </c>
      <c r="D70" s="188">
        <f t="shared" si="4"/>
        <v>2005</v>
      </c>
      <c r="E70" s="183" t="s">
        <v>525</v>
      </c>
      <c r="F70" s="178">
        <v>800</v>
      </c>
      <c r="G70" s="178">
        <v>18304</v>
      </c>
      <c r="H70" s="178">
        <v>8176</v>
      </c>
      <c r="I70" s="178">
        <v>10128</v>
      </c>
      <c r="J70" s="32">
        <v>62</v>
      </c>
      <c r="K70" s="263">
        <f t="shared" si="5"/>
        <v>3844</v>
      </c>
    </row>
    <row r="71" spans="1:11">
      <c r="A71" s="179" t="s">
        <v>423</v>
      </c>
      <c r="B71" s="179" t="s">
        <v>517</v>
      </c>
      <c r="C71" s="186">
        <v>38460</v>
      </c>
      <c r="D71" s="188">
        <f t="shared" si="4"/>
        <v>2005</v>
      </c>
      <c r="E71" s="183" t="s">
        <v>524</v>
      </c>
      <c r="F71" s="178">
        <v>900</v>
      </c>
      <c r="G71" s="178">
        <v>18981</v>
      </c>
      <c r="H71" s="178">
        <v>7623</v>
      </c>
      <c r="I71" s="178">
        <v>11358</v>
      </c>
      <c r="J71" s="32">
        <v>63</v>
      </c>
      <c r="K71" s="263">
        <f t="shared" si="5"/>
        <v>3969</v>
      </c>
    </row>
    <row r="72" spans="1:11">
      <c r="A72" s="179" t="s">
        <v>423</v>
      </c>
      <c r="B72" s="179" t="s">
        <v>516</v>
      </c>
      <c r="C72" s="186">
        <v>38461</v>
      </c>
      <c r="D72" s="188">
        <f t="shared" si="4"/>
        <v>2005</v>
      </c>
      <c r="E72" s="183" t="s">
        <v>529</v>
      </c>
      <c r="F72" s="178">
        <v>100</v>
      </c>
      <c r="G72" s="178">
        <v>2409</v>
      </c>
      <c r="H72" s="178">
        <v>984</v>
      </c>
      <c r="I72" s="178">
        <v>1425</v>
      </c>
      <c r="J72" s="32">
        <v>64</v>
      </c>
      <c r="K72" s="263">
        <f t="shared" si="5"/>
        <v>4096</v>
      </c>
    </row>
    <row r="73" spans="1:11">
      <c r="A73" s="179" t="s">
        <v>423</v>
      </c>
      <c r="B73" s="179" t="s">
        <v>518</v>
      </c>
      <c r="C73" s="186">
        <v>38462</v>
      </c>
      <c r="D73" s="188">
        <f t="shared" ref="D73:D136" si="6">YEAR(C73)</f>
        <v>2005</v>
      </c>
      <c r="E73" s="183" t="s">
        <v>540</v>
      </c>
      <c r="F73" s="178">
        <v>600</v>
      </c>
      <c r="G73" s="178">
        <v>12612</v>
      </c>
      <c r="H73" s="178">
        <v>6132</v>
      </c>
      <c r="I73" s="178">
        <v>6480</v>
      </c>
      <c r="J73" s="32">
        <v>65</v>
      </c>
      <c r="K73" s="263">
        <f t="shared" si="5"/>
        <v>4225</v>
      </c>
    </row>
    <row r="74" spans="1:11">
      <c r="A74" s="179" t="s">
        <v>429</v>
      </c>
      <c r="B74" s="179" t="s">
        <v>517</v>
      </c>
      <c r="C74" s="186">
        <v>38463</v>
      </c>
      <c r="D74" s="188">
        <f t="shared" si="6"/>
        <v>2005</v>
      </c>
      <c r="E74" s="183" t="s">
        <v>525</v>
      </c>
      <c r="F74" s="178">
        <v>100</v>
      </c>
      <c r="G74" s="178">
        <v>1842</v>
      </c>
      <c r="H74" s="178">
        <v>847</v>
      </c>
      <c r="I74" s="178">
        <v>995</v>
      </c>
      <c r="J74" s="32">
        <v>66</v>
      </c>
      <c r="K74" s="263">
        <f t="shared" ref="K74:K137" si="7">J74*J74</f>
        <v>4356</v>
      </c>
    </row>
    <row r="75" spans="1:11">
      <c r="A75" s="179" t="s">
        <v>429</v>
      </c>
      <c r="B75" s="179" t="s">
        <v>516</v>
      </c>
      <c r="C75" s="186">
        <v>38463</v>
      </c>
      <c r="D75" s="188">
        <f t="shared" si="6"/>
        <v>2005</v>
      </c>
      <c r="E75" s="183" t="s">
        <v>533</v>
      </c>
      <c r="F75" s="178">
        <v>600</v>
      </c>
      <c r="G75" s="178">
        <v>12672</v>
      </c>
      <c r="H75" s="178">
        <v>5904</v>
      </c>
      <c r="I75" s="178">
        <v>6768</v>
      </c>
      <c r="J75" s="32">
        <v>67</v>
      </c>
      <c r="K75" s="263">
        <f t="shared" si="7"/>
        <v>4489</v>
      </c>
    </row>
    <row r="76" spans="1:11">
      <c r="A76" s="179" t="s">
        <v>528</v>
      </c>
      <c r="B76" s="179" t="s">
        <v>517</v>
      </c>
      <c r="C76" s="186">
        <v>38463</v>
      </c>
      <c r="D76" s="188">
        <f t="shared" si="6"/>
        <v>2005</v>
      </c>
      <c r="E76" s="183" t="s">
        <v>534</v>
      </c>
      <c r="F76" s="178">
        <v>400</v>
      </c>
      <c r="G76" s="178">
        <v>6860</v>
      </c>
      <c r="H76" s="178">
        <v>3388</v>
      </c>
      <c r="I76" s="178">
        <v>3472</v>
      </c>
      <c r="J76" s="32">
        <v>68</v>
      </c>
      <c r="K76" s="263">
        <f t="shared" si="7"/>
        <v>4624</v>
      </c>
    </row>
    <row r="77" spans="1:11">
      <c r="A77" s="179" t="s">
        <v>423</v>
      </c>
      <c r="B77" s="179" t="s">
        <v>517</v>
      </c>
      <c r="C77" s="186">
        <v>38464</v>
      </c>
      <c r="D77" s="188">
        <f t="shared" si="6"/>
        <v>2005</v>
      </c>
      <c r="E77" s="183" t="s">
        <v>540</v>
      </c>
      <c r="F77" s="178">
        <v>500</v>
      </c>
      <c r="G77" s="178">
        <v>8940</v>
      </c>
      <c r="H77" s="178">
        <v>4235</v>
      </c>
      <c r="I77" s="178">
        <v>4705</v>
      </c>
      <c r="J77" s="32">
        <v>69</v>
      </c>
      <c r="K77" s="263">
        <f t="shared" si="7"/>
        <v>4761</v>
      </c>
    </row>
    <row r="78" spans="1:11">
      <c r="A78" s="179" t="s">
        <v>423</v>
      </c>
      <c r="B78" s="179" t="s">
        <v>517</v>
      </c>
      <c r="C78" s="186">
        <v>38467</v>
      </c>
      <c r="D78" s="188">
        <f t="shared" si="6"/>
        <v>2005</v>
      </c>
      <c r="E78" s="183" t="s">
        <v>531</v>
      </c>
      <c r="F78" s="178">
        <v>500</v>
      </c>
      <c r="G78" s="178">
        <v>10155</v>
      </c>
      <c r="H78" s="178">
        <v>4235</v>
      </c>
      <c r="I78" s="178">
        <v>5920</v>
      </c>
      <c r="J78" s="32">
        <v>70</v>
      </c>
      <c r="K78" s="263">
        <f t="shared" si="7"/>
        <v>4900</v>
      </c>
    </row>
    <row r="79" spans="1:11">
      <c r="A79" s="179" t="s">
        <v>429</v>
      </c>
      <c r="B79" s="179" t="s">
        <v>517</v>
      </c>
      <c r="C79" s="186">
        <v>38468</v>
      </c>
      <c r="D79" s="188">
        <f t="shared" si="6"/>
        <v>2005</v>
      </c>
      <c r="E79" s="183" t="s">
        <v>531</v>
      </c>
      <c r="F79" s="178">
        <v>600</v>
      </c>
      <c r="G79" s="178">
        <v>11430</v>
      </c>
      <c r="H79" s="178">
        <v>5082</v>
      </c>
      <c r="I79" s="178">
        <v>6348</v>
      </c>
      <c r="J79" s="32">
        <v>71</v>
      </c>
      <c r="K79" s="263">
        <f t="shared" si="7"/>
        <v>5041</v>
      </c>
    </row>
    <row r="80" spans="1:11">
      <c r="A80" s="179" t="s">
        <v>429</v>
      </c>
      <c r="B80" s="179" t="s">
        <v>516</v>
      </c>
      <c r="C80" s="186">
        <v>38468</v>
      </c>
      <c r="D80" s="188">
        <f t="shared" si="6"/>
        <v>2005</v>
      </c>
      <c r="E80" s="183" t="s">
        <v>532</v>
      </c>
      <c r="F80" s="178">
        <v>300</v>
      </c>
      <c r="G80" s="178">
        <v>6714</v>
      </c>
      <c r="H80" s="178">
        <v>2952</v>
      </c>
      <c r="I80" s="178">
        <v>3762</v>
      </c>
      <c r="J80" s="32">
        <v>72</v>
      </c>
      <c r="K80" s="263">
        <f t="shared" si="7"/>
        <v>5184</v>
      </c>
    </row>
    <row r="81" spans="1:11">
      <c r="A81" s="179" t="s">
        <v>528</v>
      </c>
      <c r="B81" s="179" t="s">
        <v>518</v>
      </c>
      <c r="C81" s="186">
        <v>38474</v>
      </c>
      <c r="D81" s="188">
        <f t="shared" si="6"/>
        <v>2005</v>
      </c>
      <c r="E81" s="183" t="s">
        <v>531</v>
      </c>
      <c r="F81" s="178">
        <v>700</v>
      </c>
      <c r="G81" s="178">
        <v>17199</v>
      </c>
      <c r="H81" s="178">
        <v>7154</v>
      </c>
      <c r="I81" s="178">
        <v>10045</v>
      </c>
      <c r="J81" s="32">
        <v>73</v>
      </c>
      <c r="K81" s="263">
        <f t="shared" si="7"/>
        <v>5329</v>
      </c>
    </row>
    <row r="82" spans="1:11">
      <c r="A82" s="179" t="s">
        <v>423</v>
      </c>
      <c r="B82" s="179" t="s">
        <v>517</v>
      </c>
      <c r="C82" s="186">
        <v>38475</v>
      </c>
      <c r="D82" s="188">
        <f t="shared" si="6"/>
        <v>2005</v>
      </c>
      <c r="E82" s="183" t="s">
        <v>531</v>
      </c>
      <c r="F82" s="178">
        <v>200</v>
      </c>
      <c r="G82" s="178">
        <v>3390</v>
      </c>
      <c r="H82" s="178">
        <v>1694</v>
      </c>
      <c r="I82" s="178">
        <v>1696</v>
      </c>
      <c r="J82" s="32">
        <v>74</v>
      </c>
      <c r="K82" s="263">
        <f t="shared" si="7"/>
        <v>5476</v>
      </c>
    </row>
    <row r="83" spans="1:11">
      <c r="A83" s="179" t="s">
        <v>423</v>
      </c>
      <c r="B83" s="179" t="s">
        <v>517</v>
      </c>
      <c r="C83" s="186">
        <v>38479</v>
      </c>
      <c r="D83" s="188">
        <f t="shared" si="6"/>
        <v>2005</v>
      </c>
      <c r="E83" s="183" t="s">
        <v>533</v>
      </c>
      <c r="F83" s="178">
        <v>800</v>
      </c>
      <c r="G83" s="178">
        <v>14592</v>
      </c>
      <c r="H83" s="178">
        <v>6776</v>
      </c>
      <c r="I83" s="178">
        <v>7816</v>
      </c>
      <c r="J83" s="32">
        <v>75</v>
      </c>
      <c r="K83" s="263">
        <f t="shared" si="7"/>
        <v>5625</v>
      </c>
    </row>
    <row r="84" spans="1:11">
      <c r="A84" s="179" t="s">
        <v>423</v>
      </c>
      <c r="B84" s="179" t="s">
        <v>517</v>
      </c>
      <c r="C84" s="186">
        <v>38479</v>
      </c>
      <c r="D84" s="188">
        <f t="shared" si="6"/>
        <v>2005</v>
      </c>
      <c r="E84" s="183" t="s">
        <v>533</v>
      </c>
      <c r="F84" s="178">
        <v>700</v>
      </c>
      <c r="G84" s="178">
        <v>12803</v>
      </c>
      <c r="H84" s="178">
        <v>5929</v>
      </c>
      <c r="I84" s="178">
        <v>6874</v>
      </c>
      <c r="J84" s="32">
        <v>76</v>
      </c>
      <c r="K84" s="263">
        <f t="shared" si="7"/>
        <v>5776</v>
      </c>
    </row>
    <row r="85" spans="1:11">
      <c r="A85" s="179" t="s">
        <v>423</v>
      </c>
      <c r="B85" s="179" t="s">
        <v>517</v>
      </c>
      <c r="C85" s="186">
        <v>38481</v>
      </c>
      <c r="D85" s="188">
        <f t="shared" si="6"/>
        <v>2005</v>
      </c>
      <c r="E85" s="183" t="s">
        <v>531</v>
      </c>
      <c r="F85" s="178">
        <v>900</v>
      </c>
      <c r="G85" s="178">
        <v>17964</v>
      </c>
      <c r="H85" s="178">
        <v>7623</v>
      </c>
      <c r="I85" s="178">
        <v>10341</v>
      </c>
      <c r="J85" s="32">
        <v>77</v>
      </c>
      <c r="K85" s="263">
        <f t="shared" si="7"/>
        <v>5929</v>
      </c>
    </row>
    <row r="86" spans="1:11">
      <c r="A86" s="179" t="s">
        <v>423</v>
      </c>
      <c r="B86" s="179" t="s">
        <v>516</v>
      </c>
      <c r="C86" s="186">
        <v>38486</v>
      </c>
      <c r="D86" s="188">
        <f t="shared" si="6"/>
        <v>2005</v>
      </c>
      <c r="E86" s="183" t="s">
        <v>532</v>
      </c>
      <c r="F86" s="178">
        <v>700</v>
      </c>
      <c r="G86" s="178">
        <v>14560</v>
      </c>
      <c r="H86" s="178">
        <v>6888</v>
      </c>
      <c r="I86" s="178">
        <v>7672</v>
      </c>
      <c r="J86" s="32">
        <v>78</v>
      </c>
      <c r="K86" s="263">
        <f t="shared" si="7"/>
        <v>6084</v>
      </c>
    </row>
    <row r="87" spans="1:11">
      <c r="A87" s="179" t="s">
        <v>429</v>
      </c>
      <c r="B87" s="179" t="s">
        <v>518</v>
      </c>
      <c r="C87" s="186">
        <v>38490</v>
      </c>
      <c r="D87" s="188">
        <f t="shared" si="6"/>
        <v>2005</v>
      </c>
      <c r="E87" s="183" t="s">
        <v>525</v>
      </c>
      <c r="F87" s="178">
        <v>100</v>
      </c>
      <c r="G87" s="178">
        <v>2401</v>
      </c>
      <c r="H87" s="178">
        <v>1022</v>
      </c>
      <c r="I87" s="178">
        <v>1379</v>
      </c>
      <c r="J87" s="32">
        <v>79</v>
      </c>
      <c r="K87" s="263">
        <f t="shared" si="7"/>
        <v>6241</v>
      </c>
    </row>
    <row r="88" spans="1:11">
      <c r="A88" s="179" t="s">
        <v>429</v>
      </c>
      <c r="B88" s="179" t="s">
        <v>516</v>
      </c>
      <c r="C88" s="186">
        <v>38490</v>
      </c>
      <c r="D88" s="188">
        <f t="shared" si="6"/>
        <v>2005</v>
      </c>
      <c r="E88" s="183" t="s">
        <v>536</v>
      </c>
      <c r="F88" s="178">
        <v>500</v>
      </c>
      <c r="G88" s="178">
        <v>10760</v>
      </c>
      <c r="H88" s="178">
        <v>4920</v>
      </c>
      <c r="I88" s="178">
        <v>5840</v>
      </c>
      <c r="J88" s="32">
        <v>80</v>
      </c>
      <c r="K88" s="263">
        <f t="shared" si="7"/>
        <v>6400</v>
      </c>
    </row>
    <row r="89" spans="1:11">
      <c r="A89" s="179" t="s">
        <v>528</v>
      </c>
      <c r="B89" s="179" t="s">
        <v>517</v>
      </c>
      <c r="C89" s="186">
        <v>38494</v>
      </c>
      <c r="D89" s="188">
        <f t="shared" si="6"/>
        <v>2005</v>
      </c>
      <c r="E89" s="183" t="s">
        <v>531</v>
      </c>
      <c r="F89" s="178">
        <v>300</v>
      </c>
      <c r="G89" s="178">
        <v>5826</v>
      </c>
      <c r="H89" s="178">
        <v>2541</v>
      </c>
      <c r="I89" s="178">
        <v>3285</v>
      </c>
      <c r="J89" s="32">
        <v>81</v>
      </c>
      <c r="K89" s="263">
        <f t="shared" si="7"/>
        <v>6561</v>
      </c>
    </row>
    <row r="90" spans="1:11">
      <c r="A90" s="179" t="s">
        <v>528</v>
      </c>
      <c r="B90" s="179" t="s">
        <v>516</v>
      </c>
      <c r="C90" s="186">
        <v>38496</v>
      </c>
      <c r="D90" s="188">
        <f t="shared" si="6"/>
        <v>2005</v>
      </c>
      <c r="E90" s="183" t="s">
        <v>523</v>
      </c>
      <c r="F90" s="178">
        <v>400</v>
      </c>
      <c r="G90" s="178">
        <v>9672</v>
      </c>
      <c r="H90" s="178">
        <v>3936</v>
      </c>
      <c r="I90" s="178">
        <v>5736</v>
      </c>
      <c r="J90" s="32">
        <v>82</v>
      </c>
      <c r="K90" s="263">
        <f t="shared" si="7"/>
        <v>6724</v>
      </c>
    </row>
    <row r="91" spans="1:11">
      <c r="A91" s="179" t="s">
        <v>528</v>
      </c>
      <c r="B91" s="179" t="s">
        <v>516</v>
      </c>
      <c r="C91" s="186">
        <v>38499</v>
      </c>
      <c r="D91" s="188">
        <f t="shared" si="6"/>
        <v>2005</v>
      </c>
      <c r="E91" s="183" t="s">
        <v>541</v>
      </c>
      <c r="F91" s="178">
        <v>200</v>
      </c>
      <c r="G91" s="178">
        <v>4754</v>
      </c>
      <c r="H91" s="178">
        <v>1968</v>
      </c>
      <c r="I91" s="178">
        <v>2786</v>
      </c>
      <c r="J91" s="32">
        <v>83</v>
      </c>
      <c r="K91" s="263">
        <f t="shared" si="7"/>
        <v>6889</v>
      </c>
    </row>
    <row r="92" spans="1:11">
      <c r="A92" s="179" t="s">
        <v>528</v>
      </c>
      <c r="B92" s="179" t="s">
        <v>517</v>
      </c>
      <c r="C92" s="186">
        <v>38500</v>
      </c>
      <c r="D92" s="188">
        <f t="shared" si="6"/>
        <v>2005</v>
      </c>
      <c r="E92" s="183" t="s">
        <v>525</v>
      </c>
      <c r="F92" s="178">
        <v>100</v>
      </c>
      <c r="G92" s="178">
        <v>1740</v>
      </c>
      <c r="H92" s="178">
        <v>847</v>
      </c>
      <c r="I92" s="178">
        <v>893</v>
      </c>
      <c r="J92" s="32">
        <v>84</v>
      </c>
      <c r="K92" s="263">
        <f t="shared" si="7"/>
        <v>7056</v>
      </c>
    </row>
    <row r="93" spans="1:11">
      <c r="A93" s="179" t="s">
        <v>528</v>
      </c>
      <c r="B93" s="179" t="s">
        <v>517</v>
      </c>
      <c r="C93" s="186">
        <v>38505</v>
      </c>
      <c r="D93" s="188">
        <f t="shared" si="6"/>
        <v>2005</v>
      </c>
      <c r="E93" s="183" t="s">
        <v>529</v>
      </c>
      <c r="F93" s="178">
        <v>200</v>
      </c>
      <c r="G93" s="178">
        <v>4010</v>
      </c>
      <c r="H93" s="178">
        <v>1694</v>
      </c>
      <c r="I93" s="178">
        <v>2316</v>
      </c>
      <c r="J93" s="32">
        <v>85</v>
      </c>
      <c r="K93" s="263">
        <f t="shared" si="7"/>
        <v>7225</v>
      </c>
    </row>
    <row r="94" spans="1:11">
      <c r="A94" s="179" t="s">
        <v>423</v>
      </c>
      <c r="B94" s="179" t="s">
        <v>518</v>
      </c>
      <c r="C94" s="186">
        <v>38506</v>
      </c>
      <c r="D94" s="188">
        <f t="shared" si="6"/>
        <v>2005</v>
      </c>
      <c r="E94" s="183" t="s">
        <v>532</v>
      </c>
      <c r="F94" s="178">
        <v>800</v>
      </c>
      <c r="G94" s="178">
        <v>18560</v>
      </c>
      <c r="H94" s="178">
        <v>8176</v>
      </c>
      <c r="I94" s="178">
        <v>10384</v>
      </c>
      <c r="J94" s="32">
        <v>86</v>
      </c>
      <c r="K94" s="263">
        <f t="shared" si="7"/>
        <v>7396</v>
      </c>
    </row>
    <row r="95" spans="1:11">
      <c r="A95" s="179" t="s">
        <v>429</v>
      </c>
      <c r="B95" s="179" t="s">
        <v>516</v>
      </c>
      <c r="C95" s="186">
        <v>38512</v>
      </c>
      <c r="D95" s="188">
        <f t="shared" si="6"/>
        <v>2005</v>
      </c>
      <c r="E95" s="183" t="s">
        <v>529</v>
      </c>
      <c r="F95" s="178">
        <v>900</v>
      </c>
      <c r="G95" s="178">
        <v>19674</v>
      </c>
      <c r="H95" s="178">
        <v>8856</v>
      </c>
      <c r="I95" s="178">
        <v>10818</v>
      </c>
      <c r="J95" s="32">
        <v>87</v>
      </c>
      <c r="K95" s="263">
        <f t="shared" si="7"/>
        <v>7569</v>
      </c>
    </row>
    <row r="96" spans="1:11">
      <c r="A96" s="179" t="s">
        <v>423</v>
      </c>
      <c r="B96" s="179" t="s">
        <v>518</v>
      </c>
      <c r="C96" s="186">
        <v>38512</v>
      </c>
      <c r="D96" s="188">
        <f t="shared" si="6"/>
        <v>2005</v>
      </c>
      <c r="E96" s="183" t="s">
        <v>542</v>
      </c>
      <c r="F96" s="178">
        <v>600</v>
      </c>
      <c r="G96" s="178">
        <v>13962</v>
      </c>
      <c r="H96" s="178">
        <v>6132</v>
      </c>
      <c r="I96" s="178">
        <v>7830</v>
      </c>
      <c r="J96" s="32">
        <v>88</v>
      </c>
      <c r="K96" s="263">
        <f t="shared" si="7"/>
        <v>7744</v>
      </c>
    </row>
    <row r="97" spans="1:11">
      <c r="A97" s="179" t="s">
        <v>429</v>
      </c>
      <c r="B97" s="179" t="s">
        <v>517</v>
      </c>
      <c r="C97" s="186">
        <v>38516</v>
      </c>
      <c r="D97" s="188">
        <f t="shared" si="6"/>
        <v>2005</v>
      </c>
      <c r="E97" s="183" t="s">
        <v>529</v>
      </c>
      <c r="F97" s="178">
        <v>100</v>
      </c>
      <c r="G97" s="178">
        <v>1913</v>
      </c>
      <c r="H97" s="178">
        <v>847</v>
      </c>
      <c r="I97" s="178">
        <v>1066</v>
      </c>
      <c r="J97" s="32">
        <v>89</v>
      </c>
      <c r="K97" s="263">
        <f t="shared" si="7"/>
        <v>7921</v>
      </c>
    </row>
    <row r="98" spans="1:11">
      <c r="A98" s="179" t="s">
        <v>423</v>
      </c>
      <c r="B98" s="179" t="s">
        <v>516</v>
      </c>
      <c r="C98" s="186">
        <v>38517</v>
      </c>
      <c r="D98" s="188">
        <f t="shared" si="6"/>
        <v>2005</v>
      </c>
      <c r="E98" s="183" t="s">
        <v>525</v>
      </c>
      <c r="F98" s="178">
        <v>300</v>
      </c>
      <c r="G98" s="178">
        <v>6522</v>
      </c>
      <c r="H98" s="178">
        <v>2952</v>
      </c>
      <c r="I98" s="178">
        <v>3570</v>
      </c>
      <c r="J98" s="32">
        <v>90</v>
      </c>
      <c r="K98" s="263">
        <f t="shared" si="7"/>
        <v>8100</v>
      </c>
    </row>
    <row r="99" spans="1:11">
      <c r="A99" s="179" t="s">
        <v>423</v>
      </c>
      <c r="B99" s="179" t="s">
        <v>518</v>
      </c>
      <c r="C99" s="186">
        <v>38521</v>
      </c>
      <c r="D99" s="188">
        <f t="shared" si="6"/>
        <v>2005</v>
      </c>
      <c r="E99" s="183" t="s">
        <v>543</v>
      </c>
      <c r="F99" s="178">
        <v>1000</v>
      </c>
      <c r="G99" s="178">
        <v>22840</v>
      </c>
      <c r="H99" s="178">
        <v>10220</v>
      </c>
      <c r="I99" s="178">
        <v>12620</v>
      </c>
      <c r="J99" s="32">
        <v>91</v>
      </c>
      <c r="K99" s="263">
        <f t="shared" si="7"/>
        <v>8281</v>
      </c>
    </row>
    <row r="100" spans="1:11">
      <c r="A100" s="179" t="s">
        <v>429</v>
      </c>
      <c r="B100" s="179" t="s">
        <v>516</v>
      </c>
      <c r="C100" s="186">
        <v>38526</v>
      </c>
      <c r="D100" s="188">
        <f t="shared" si="6"/>
        <v>2005</v>
      </c>
      <c r="E100" s="183" t="s">
        <v>531</v>
      </c>
      <c r="F100" s="178">
        <v>300</v>
      </c>
      <c r="G100" s="178">
        <v>5961</v>
      </c>
      <c r="H100" s="178">
        <v>2952</v>
      </c>
      <c r="I100" s="178">
        <v>3009</v>
      </c>
      <c r="J100" s="32">
        <v>92</v>
      </c>
      <c r="K100" s="263">
        <f t="shared" si="7"/>
        <v>8464</v>
      </c>
    </row>
    <row r="101" spans="1:11">
      <c r="A101" s="179" t="s">
        <v>423</v>
      </c>
      <c r="B101" s="179" t="s">
        <v>518</v>
      </c>
      <c r="C101" s="186">
        <v>38529</v>
      </c>
      <c r="D101" s="188">
        <f t="shared" si="6"/>
        <v>2005</v>
      </c>
      <c r="E101" s="183" t="s">
        <v>533</v>
      </c>
      <c r="F101" s="178">
        <v>300</v>
      </c>
      <c r="G101" s="178">
        <v>7593</v>
      </c>
      <c r="H101" s="178">
        <v>3066</v>
      </c>
      <c r="I101" s="178">
        <v>4527</v>
      </c>
      <c r="J101" s="32">
        <v>93</v>
      </c>
      <c r="K101" s="263">
        <f t="shared" si="7"/>
        <v>8649</v>
      </c>
    </row>
    <row r="102" spans="1:11">
      <c r="A102" s="179" t="s">
        <v>528</v>
      </c>
      <c r="B102" s="179" t="s">
        <v>518</v>
      </c>
      <c r="C102" s="186">
        <v>38530</v>
      </c>
      <c r="D102" s="188">
        <f t="shared" si="6"/>
        <v>2005</v>
      </c>
      <c r="E102" s="183" t="s">
        <v>534</v>
      </c>
      <c r="F102" s="178">
        <v>200</v>
      </c>
      <c r="G102" s="178">
        <v>4902</v>
      </c>
      <c r="H102" s="178">
        <v>2044</v>
      </c>
      <c r="I102" s="178">
        <v>2858</v>
      </c>
      <c r="J102" s="32">
        <v>94</v>
      </c>
      <c r="K102" s="263">
        <f t="shared" si="7"/>
        <v>8836</v>
      </c>
    </row>
    <row r="103" spans="1:11">
      <c r="A103" s="179" t="s">
        <v>429</v>
      </c>
      <c r="B103" s="179" t="s">
        <v>517</v>
      </c>
      <c r="C103" s="186">
        <v>38539</v>
      </c>
      <c r="D103" s="188">
        <f t="shared" si="6"/>
        <v>2005</v>
      </c>
      <c r="E103" s="183" t="s">
        <v>529</v>
      </c>
      <c r="F103" s="178">
        <v>700</v>
      </c>
      <c r="G103" s="178">
        <v>13804</v>
      </c>
      <c r="H103" s="178">
        <v>5929</v>
      </c>
      <c r="I103" s="178">
        <v>7875</v>
      </c>
      <c r="J103" s="32">
        <v>95</v>
      </c>
      <c r="K103" s="263">
        <f t="shared" si="7"/>
        <v>9025</v>
      </c>
    </row>
    <row r="104" spans="1:11">
      <c r="A104" s="179" t="s">
        <v>423</v>
      </c>
      <c r="B104" s="179" t="s">
        <v>517</v>
      </c>
      <c r="C104" s="186">
        <v>38541</v>
      </c>
      <c r="D104" s="188">
        <f t="shared" si="6"/>
        <v>2005</v>
      </c>
      <c r="E104" s="183" t="s">
        <v>534</v>
      </c>
      <c r="F104" s="178">
        <v>1000</v>
      </c>
      <c r="G104" s="178">
        <v>19890</v>
      </c>
      <c r="H104" s="178">
        <v>8470</v>
      </c>
      <c r="I104" s="178">
        <v>11420</v>
      </c>
      <c r="J104" s="32">
        <v>96</v>
      </c>
      <c r="K104" s="263">
        <f t="shared" si="7"/>
        <v>9216</v>
      </c>
    </row>
    <row r="105" spans="1:11">
      <c r="A105" s="179" t="s">
        <v>423</v>
      </c>
      <c r="B105" s="179" t="s">
        <v>518</v>
      </c>
      <c r="C105" s="186">
        <v>38542</v>
      </c>
      <c r="D105" s="188">
        <f t="shared" si="6"/>
        <v>2005</v>
      </c>
      <c r="E105" s="183" t="s">
        <v>533</v>
      </c>
      <c r="F105" s="178">
        <v>1000</v>
      </c>
      <c r="G105" s="178">
        <v>25080</v>
      </c>
      <c r="H105" s="178">
        <v>10220</v>
      </c>
      <c r="I105" s="178">
        <v>14860</v>
      </c>
      <c r="J105" s="32">
        <v>97</v>
      </c>
      <c r="K105" s="263">
        <f t="shared" si="7"/>
        <v>9409</v>
      </c>
    </row>
    <row r="106" spans="1:11">
      <c r="A106" s="179" t="s">
        <v>429</v>
      </c>
      <c r="B106" s="179" t="s">
        <v>517</v>
      </c>
      <c r="C106" s="186">
        <v>38546</v>
      </c>
      <c r="D106" s="188">
        <f t="shared" si="6"/>
        <v>2005</v>
      </c>
      <c r="E106" s="183" t="s">
        <v>533</v>
      </c>
      <c r="F106" s="178">
        <v>900</v>
      </c>
      <c r="G106" s="178">
        <v>17172</v>
      </c>
      <c r="H106" s="178">
        <v>7623</v>
      </c>
      <c r="I106" s="178">
        <v>9549</v>
      </c>
      <c r="J106" s="32">
        <v>98</v>
      </c>
      <c r="K106" s="263">
        <f t="shared" si="7"/>
        <v>9604</v>
      </c>
    </row>
    <row r="107" spans="1:11">
      <c r="A107" s="179" t="s">
        <v>429</v>
      </c>
      <c r="B107" s="179" t="s">
        <v>516</v>
      </c>
      <c r="C107" s="186">
        <v>38548</v>
      </c>
      <c r="D107" s="188">
        <f t="shared" si="6"/>
        <v>2005</v>
      </c>
      <c r="E107" s="183" t="s">
        <v>523</v>
      </c>
      <c r="F107" s="178">
        <v>600</v>
      </c>
      <c r="G107" s="178">
        <v>14466</v>
      </c>
      <c r="H107" s="178">
        <v>5904</v>
      </c>
      <c r="I107" s="178">
        <v>8562</v>
      </c>
      <c r="J107" s="32">
        <v>99</v>
      </c>
      <c r="K107" s="263">
        <f t="shared" si="7"/>
        <v>9801</v>
      </c>
    </row>
    <row r="108" spans="1:11">
      <c r="A108" s="179" t="s">
        <v>528</v>
      </c>
      <c r="B108" s="179" t="s">
        <v>518</v>
      </c>
      <c r="C108" s="186">
        <v>38554</v>
      </c>
      <c r="D108" s="188">
        <f t="shared" si="6"/>
        <v>2005</v>
      </c>
      <c r="E108" s="183" t="s">
        <v>532</v>
      </c>
      <c r="F108" s="178">
        <v>1000</v>
      </c>
      <c r="G108" s="178">
        <v>25140</v>
      </c>
      <c r="H108" s="178">
        <v>10220</v>
      </c>
      <c r="I108" s="178">
        <v>14920</v>
      </c>
      <c r="J108" s="32">
        <v>100</v>
      </c>
      <c r="K108" s="263">
        <f t="shared" si="7"/>
        <v>10000</v>
      </c>
    </row>
    <row r="109" spans="1:11">
      <c r="A109" s="179" t="s">
        <v>423</v>
      </c>
      <c r="B109" s="179" t="s">
        <v>518</v>
      </c>
      <c r="C109" s="186">
        <v>38562</v>
      </c>
      <c r="D109" s="188">
        <f t="shared" si="6"/>
        <v>2005</v>
      </c>
      <c r="E109" s="183" t="s">
        <v>523</v>
      </c>
      <c r="F109" s="178">
        <v>400</v>
      </c>
      <c r="G109" s="178">
        <v>8744</v>
      </c>
      <c r="H109" s="178">
        <v>4088</v>
      </c>
      <c r="I109" s="178">
        <v>4656</v>
      </c>
      <c r="J109" s="32">
        <v>101</v>
      </c>
      <c r="K109" s="263">
        <f t="shared" si="7"/>
        <v>10201</v>
      </c>
    </row>
    <row r="110" spans="1:11">
      <c r="A110" s="179" t="s">
        <v>429</v>
      </c>
      <c r="B110" s="179" t="s">
        <v>518</v>
      </c>
      <c r="C110" s="186">
        <v>38564</v>
      </c>
      <c r="D110" s="188">
        <f t="shared" si="6"/>
        <v>2005</v>
      </c>
      <c r="E110" s="183" t="s">
        <v>523</v>
      </c>
      <c r="F110" s="178">
        <v>900</v>
      </c>
      <c r="G110" s="178">
        <v>21465</v>
      </c>
      <c r="H110" s="178">
        <v>9198</v>
      </c>
      <c r="I110" s="178">
        <v>12267</v>
      </c>
      <c r="J110" s="32">
        <v>102</v>
      </c>
      <c r="K110" s="263">
        <f t="shared" si="7"/>
        <v>10404</v>
      </c>
    </row>
    <row r="111" spans="1:11">
      <c r="A111" s="179" t="s">
        <v>528</v>
      </c>
      <c r="B111" s="179" t="s">
        <v>517</v>
      </c>
      <c r="C111" s="186">
        <v>38564</v>
      </c>
      <c r="D111" s="188">
        <f t="shared" si="6"/>
        <v>2005</v>
      </c>
      <c r="E111" s="183" t="s">
        <v>536</v>
      </c>
      <c r="F111" s="178">
        <v>800</v>
      </c>
      <c r="G111" s="178">
        <v>15312</v>
      </c>
      <c r="H111" s="178">
        <v>6776</v>
      </c>
      <c r="I111" s="178">
        <v>8536</v>
      </c>
      <c r="J111" s="32">
        <v>103</v>
      </c>
      <c r="K111" s="263">
        <f t="shared" si="7"/>
        <v>10609</v>
      </c>
    </row>
    <row r="112" spans="1:11">
      <c r="A112" s="179" t="s">
        <v>429</v>
      </c>
      <c r="B112" s="179" t="s">
        <v>517</v>
      </c>
      <c r="C112" s="186">
        <v>38567</v>
      </c>
      <c r="D112" s="188">
        <f t="shared" si="6"/>
        <v>2005</v>
      </c>
      <c r="E112" s="183" t="s">
        <v>533</v>
      </c>
      <c r="F112" s="178">
        <v>800</v>
      </c>
      <c r="G112" s="178">
        <v>15640</v>
      </c>
      <c r="H112" s="178">
        <v>6776</v>
      </c>
      <c r="I112" s="178">
        <v>8864</v>
      </c>
      <c r="J112" s="32">
        <v>104</v>
      </c>
      <c r="K112" s="263">
        <f t="shared" si="7"/>
        <v>10816</v>
      </c>
    </row>
    <row r="113" spans="1:11">
      <c r="A113" s="179" t="s">
        <v>528</v>
      </c>
      <c r="B113" s="179" t="s">
        <v>517</v>
      </c>
      <c r="C113" s="186">
        <v>38567</v>
      </c>
      <c r="D113" s="188">
        <f t="shared" si="6"/>
        <v>2005</v>
      </c>
      <c r="E113" s="183" t="s">
        <v>532</v>
      </c>
      <c r="F113" s="178">
        <v>500</v>
      </c>
      <c r="G113" s="178">
        <v>8970</v>
      </c>
      <c r="H113" s="178">
        <v>4235</v>
      </c>
      <c r="I113" s="178">
        <v>4735</v>
      </c>
      <c r="J113" s="32">
        <v>105</v>
      </c>
      <c r="K113" s="263">
        <f t="shared" si="7"/>
        <v>11025</v>
      </c>
    </row>
    <row r="114" spans="1:11">
      <c r="A114" s="179" t="s">
        <v>528</v>
      </c>
      <c r="B114" s="179" t="s">
        <v>518</v>
      </c>
      <c r="C114" s="186">
        <v>38568</v>
      </c>
      <c r="D114" s="188">
        <f t="shared" si="6"/>
        <v>2005</v>
      </c>
      <c r="E114" s="183" t="s">
        <v>523</v>
      </c>
      <c r="F114" s="178">
        <v>900</v>
      </c>
      <c r="G114" s="178">
        <v>18918</v>
      </c>
      <c r="H114" s="178">
        <v>9198</v>
      </c>
      <c r="I114" s="178">
        <v>9720</v>
      </c>
      <c r="J114" s="32">
        <v>106</v>
      </c>
      <c r="K114" s="263">
        <f t="shared" si="7"/>
        <v>11236</v>
      </c>
    </row>
    <row r="115" spans="1:11">
      <c r="A115" s="179" t="s">
        <v>528</v>
      </c>
      <c r="B115" s="179" t="s">
        <v>516</v>
      </c>
      <c r="C115" s="186">
        <v>38573</v>
      </c>
      <c r="D115" s="188">
        <f t="shared" si="6"/>
        <v>2005</v>
      </c>
      <c r="E115" s="183" t="s">
        <v>530</v>
      </c>
      <c r="F115" s="178">
        <v>200</v>
      </c>
      <c r="G115" s="178">
        <v>4484</v>
      </c>
      <c r="H115" s="178">
        <v>1968</v>
      </c>
      <c r="I115" s="178">
        <v>2516</v>
      </c>
      <c r="J115" s="32">
        <v>107</v>
      </c>
      <c r="K115" s="263">
        <f t="shared" si="7"/>
        <v>11449</v>
      </c>
    </row>
    <row r="116" spans="1:11">
      <c r="A116" s="179" t="s">
        <v>423</v>
      </c>
      <c r="B116" s="179" t="s">
        <v>517</v>
      </c>
      <c r="C116" s="186">
        <v>38574</v>
      </c>
      <c r="D116" s="188">
        <f t="shared" si="6"/>
        <v>2005</v>
      </c>
      <c r="E116" s="183" t="s">
        <v>533</v>
      </c>
      <c r="F116" s="178">
        <v>100</v>
      </c>
      <c r="G116" s="178">
        <v>1704</v>
      </c>
      <c r="H116" s="178">
        <v>847</v>
      </c>
      <c r="I116" s="178">
        <v>857</v>
      </c>
      <c r="J116" s="32">
        <v>108</v>
      </c>
      <c r="K116" s="263">
        <f t="shared" si="7"/>
        <v>11664</v>
      </c>
    </row>
    <row r="117" spans="1:11">
      <c r="A117" s="179" t="s">
        <v>423</v>
      </c>
      <c r="B117" s="179" t="s">
        <v>518</v>
      </c>
      <c r="C117" s="186">
        <v>38574</v>
      </c>
      <c r="D117" s="188">
        <f t="shared" si="6"/>
        <v>2005</v>
      </c>
      <c r="E117" s="183" t="s">
        <v>544</v>
      </c>
      <c r="F117" s="178">
        <v>600</v>
      </c>
      <c r="G117" s="178">
        <v>13806</v>
      </c>
      <c r="H117" s="178">
        <v>6132</v>
      </c>
      <c r="I117" s="178">
        <v>7674</v>
      </c>
      <c r="J117" s="32">
        <v>109</v>
      </c>
      <c r="K117" s="263">
        <f t="shared" si="7"/>
        <v>11881</v>
      </c>
    </row>
    <row r="118" spans="1:11">
      <c r="A118" s="179" t="s">
        <v>528</v>
      </c>
      <c r="B118" s="179" t="s">
        <v>516</v>
      </c>
      <c r="C118" s="186">
        <v>38575</v>
      </c>
      <c r="D118" s="188">
        <f t="shared" si="6"/>
        <v>2005</v>
      </c>
      <c r="E118" s="183" t="s">
        <v>524</v>
      </c>
      <c r="F118" s="178">
        <v>700</v>
      </c>
      <c r="G118" s="178">
        <v>14203</v>
      </c>
      <c r="H118" s="178">
        <v>6888</v>
      </c>
      <c r="I118" s="178">
        <v>7315</v>
      </c>
      <c r="J118" s="32">
        <v>110</v>
      </c>
      <c r="K118" s="263">
        <f t="shared" si="7"/>
        <v>12100</v>
      </c>
    </row>
    <row r="119" spans="1:11">
      <c r="A119" s="179" t="s">
        <v>429</v>
      </c>
      <c r="B119" s="179" t="s">
        <v>516</v>
      </c>
      <c r="C119" s="186">
        <v>38576</v>
      </c>
      <c r="D119" s="188">
        <f t="shared" si="6"/>
        <v>2005</v>
      </c>
      <c r="E119" s="183" t="s">
        <v>524</v>
      </c>
      <c r="F119" s="178">
        <v>300</v>
      </c>
      <c r="G119" s="178">
        <v>6228</v>
      </c>
      <c r="H119" s="178">
        <v>2952</v>
      </c>
      <c r="I119" s="178">
        <v>3276</v>
      </c>
      <c r="J119" s="32">
        <v>111</v>
      </c>
      <c r="K119" s="263">
        <f t="shared" si="7"/>
        <v>12321</v>
      </c>
    </row>
    <row r="120" spans="1:11">
      <c r="A120" s="179" t="s">
        <v>528</v>
      </c>
      <c r="B120" s="179" t="s">
        <v>517</v>
      </c>
      <c r="C120" s="186">
        <v>38577</v>
      </c>
      <c r="D120" s="188">
        <f t="shared" si="6"/>
        <v>2005</v>
      </c>
      <c r="E120" s="183" t="s">
        <v>531</v>
      </c>
      <c r="F120" s="178">
        <v>500</v>
      </c>
      <c r="G120" s="178">
        <v>8785</v>
      </c>
      <c r="H120" s="178">
        <v>4235</v>
      </c>
      <c r="I120" s="178">
        <v>4550</v>
      </c>
      <c r="J120" s="32">
        <v>112</v>
      </c>
      <c r="K120" s="263">
        <f t="shared" si="7"/>
        <v>12544</v>
      </c>
    </row>
    <row r="121" spans="1:11">
      <c r="A121" s="179" t="s">
        <v>423</v>
      </c>
      <c r="B121" s="179" t="s">
        <v>516</v>
      </c>
      <c r="C121" s="186">
        <v>38577</v>
      </c>
      <c r="D121" s="188">
        <f t="shared" si="6"/>
        <v>2005</v>
      </c>
      <c r="E121" s="183" t="s">
        <v>531</v>
      </c>
      <c r="F121" s="178">
        <v>500</v>
      </c>
      <c r="G121" s="178">
        <v>10955</v>
      </c>
      <c r="H121" s="178">
        <v>4920</v>
      </c>
      <c r="I121" s="178">
        <v>6035</v>
      </c>
      <c r="J121" s="32">
        <v>113</v>
      </c>
      <c r="K121" s="263">
        <f t="shared" si="7"/>
        <v>12769</v>
      </c>
    </row>
    <row r="122" spans="1:11">
      <c r="A122" s="179" t="s">
        <v>528</v>
      </c>
      <c r="B122" s="179" t="s">
        <v>518</v>
      </c>
      <c r="C122" s="186">
        <v>38577</v>
      </c>
      <c r="D122" s="188">
        <f t="shared" si="6"/>
        <v>2005</v>
      </c>
      <c r="E122" s="183" t="s">
        <v>529</v>
      </c>
      <c r="F122" s="178">
        <v>1000</v>
      </c>
      <c r="G122" s="178">
        <v>22680</v>
      </c>
      <c r="H122" s="178">
        <v>10220</v>
      </c>
      <c r="I122" s="178">
        <v>12460</v>
      </c>
      <c r="J122" s="32">
        <v>114</v>
      </c>
      <c r="K122" s="263">
        <f t="shared" si="7"/>
        <v>12996</v>
      </c>
    </row>
    <row r="123" spans="1:11">
      <c r="A123" s="179" t="s">
        <v>429</v>
      </c>
      <c r="B123" s="179" t="s">
        <v>518</v>
      </c>
      <c r="C123" s="186">
        <v>38578</v>
      </c>
      <c r="D123" s="188">
        <f t="shared" si="6"/>
        <v>2005</v>
      </c>
      <c r="E123" s="183" t="s">
        <v>525</v>
      </c>
      <c r="F123" s="178">
        <v>600</v>
      </c>
      <c r="G123" s="178">
        <v>15006</v>
      </c>
      <c r="H123" s="178">
        <v>6132</v>
      </c>
      <c r="I123" s="178">
        <v>8874</v>
      </c>
      <c r="J123" s="32">
        <v>115</v>
      </c>
      <c r="K123" s="263">
        <f t="shared" si="7"/>
        <v>13225</v>
      </c>
    </row>
    <row r="124" spans="1:11">
      <c r="A124" s="179" t="s">
        <v>429</v>
      </c>
      <c r="B124" s="179" t="s">
        <v>518</v>
      </c>
      <c r="C124" s="186">
        <v>38585</v>
      </c>
      <c r="D124" s="188">
        <f t="shared" si="6"/>
        <v>2005</v>
      </c>
      <c r="E124" s="183" t="s">
        <v>545</v>
      </c>
      <c r="F124" s="178">
        <v>800</v>
      </c>
      <c r="G124" s="178">
        <v>18264</v>
      </c>
      <c r="H124" s="178">
        <v>8176</v>
      </c>
      <c r="I124" s="178">
        <v>10088</v>
      </c>
      <c r="J124" s="32">
        <v>116</v>
      </c>
      <c r="K124" s="263">
        <f t="shared" si="7"/>
        <v>13456</v>
      </c>
    </row>
    <row r="125" spans="1:11">
      <c r="A125" s="179" t="s">
        <v>528</v>
      </c>
      <c r="B125" s="179" t="s">
        <v>517</v>
      </c>
      <c r="C125" s="186">
        <v>38585</v>
      </c>
      <c r="D125" s="188">
        <f t="shared" si="6"/>
        <v>2005</v>
      </c>
      <c r="E125" s="183" t="s">
        <v>532</v>
      </c>
      <c r="F125" s="178">
        <v>600</v>
      </c>
      <c r="G125" s="178">
        <v>12360</v>
      </c>
      <c r="H125" s="178">
        <v>5082</v>
      </c>
      <c r="I125" s="178">
        <v>7278</v>
      </c>
      <c r="J125" s="32">
        <v>117</v>
      </c>
      <c r="K125" s="263">
        <f t="shared" si="7"/>
        <v>13689</v>
      </c>
    </row>
    <row r="126" spans="1:11">
      <c r="A126" s="179" t="s">
        <v>423</v>
      </c>
      <c r="B126" s="179" t="s">
        <v>517</v>
      </c>
      <c r="C126" s="186">
        <v>38586</v>
      </c>
      <c r="D126" s="188">
        <f t="shared" si="6"/>
        <v>2005</v>
      </c>
      <c r="E126" s="183" t="s">
        <v>546</v>
      </c>
      <c r="F126" s="178">
        <v>300</v>
      </c>
      <c r="G126" s="178">
        <v>5859</v>
      </c>
      <c r="H126" s="178">
        <v>2541</v>
      </c>
      <c r="I126" s="178">
        <v>3318</v>
      </c>
      <c r="J126" s="32">
        <v>118</v>
      </c>
      <c r="K126" s="263">
        <f t="shared" si="7"/>
        <v>13924</v>
      </c>
    </row>
    <row r="127" spans="1:11">
      <c r="A127" s="179" t="s">
        <v>528</v>
      </c>
      <c r="B127" s="179" t="s">
        <v>516</v>
      </c>
      <c r="C127" s="186">
        <v>38588</v>
      </c>
      <c r="D127" s="188">
        <f t="shared" si="6"/>
        <v>2005</v>
      </c>
      <c r="E127" s="183" t="s">
        <v>529</v>
      </c>
      <c r="F127" s="178">
        <v>900</v>
      </c>
      <c r="G127" s="178">
        <v>18990</v>
      </c>
      <c r="H127" s="178">
        <v>8856</v>
      </c>
      <c r="I127" s="178">
        <v>10134</v>
      </c>
      <c r="J127" s="32">
        <v>119</v>
      </c>
      <c r="K127" s="263">
        <f t="shared" si="7"/>
        <v>14161</v>
      </c>
    </row>
    <row r="128" spans="1:11">
      <c r="A128" s="179" t="s">
        <v>528</v>
      </c>
      <c r="B128" s="179" t="s">
        <v>518</v>
      </c>
      <c r="C128" s="186">
        <v>38590</v>
      </c>
      <c r="D128" s="188">
        <f t="shared" si="6"/>
        <v>2005</v>
      </c>
      <c r="E128" s="183" t="s">
        <v>525</v>
      </c>
      <c r="F128" s="178">
        <v>600</v>
      </c>
      <c r="G128" s="178">
        <v>14448</v>
      </c>
      <c r="H128" s="178">
        <v>6132</v>
      </c>
      <c r="I128" s="178">
        <v>8316</v>
      </c>
      <c r="J128" s="32">
        <v>120</v>
      </c>
      <c r="K128" s="263">
        <f t="shared" si="7"/>
        <v>14400</v>
      </c>
    </row>
    <row r="129" spans="1:11">
      <c r="A129" s="179" t="s">
        <v>528</v>
      </c>
      <c r="B129" s="179" t="s">
        <v>517</v>
      </c>
      <c r="C129" s="186">
        <v>38591</v>
      </c>
      <c r="D129" s="188">
        <f t="shared" si="6"/>
        <v>2005</v>
      </c>
      <c r="E129" s="183" t="s">
        <v>529</v>
      </c>
      <c r="F129" s="178">
        <v>1000</v>
      </c>
      <c r="G129" s="178">
        <v>21010</v>
      </c>
      <c r="H129" s="178">
        <v>8470</v>
      </c>
      <c r="I129" s="178">
        <v>12540</v>
      </c>
      <c r="J129" s="32">
        <v>121</v>
      </c>
      <c r="K129" s="263">
        <f t="shared" si="7"/>
        <v>14641</v>
      </c>
    </row>
    <row r="130" spans="1:11">
      <c r="A130" s="179" t="s">
        <v>423</v>
      </c>
      <c r="B130" s="179" t="s">
        <v>516</v>
      </c>
      <c r="C130" s="186">
        <v>38594</v>
      </c>
      <c r="D130" s="188">
        <f t="shared" si="6"/>
        <v>2005</v>
      </c>
      <c r="E130" s="183" t="s">
        <v>531</v>
      </c>
      <c r="F130" s="178">
        <v>300</v>
      </c>
      <c r="G130" s="178">
        <v>7032</v>
      </c>
      <c r="H130" s="178">
        <v>2952</v>
      </c>
      <c r="I130" s="178">
        <v>4080</v>
      </c>
      <c r="J130" s="32">
        <v>122</v>
      </c>
      <c r="K130" s="263">
        <f t="shared" si="7"/>
        <v>14884</v>
      </c>
    </row>
    <row r="131" spans="1:11">
      <c r="A131" s="179" t="s">
        <v>528</v>
      </c>
      <c r="B131" s="179" t="s">
        <v>518</v>
      </c>
      <c r="C131" s="186">
        <v>38595</v>
      </c>
      <c r="D131" s="188">
        <f t="shared" si="6"/>
        <v>2005</v>
      </c>
      <c r="E131" s="183" t="s">
        <v>532</v>
      </c>
      <c r="F131" s="178">
        <v>500</v>
      </c>
      <c r="G131" s="178">
        <v>11525</v>
      </c>
      <c r="H131" s="178">
        <v>5110</v>
      </c>
      <c r="I131" s="178">
        <v>6415</v>
      </c>
      <c r="J131" s="32">
        <v>123</v>
      </c>
      <c r="K131" s="263">
        <f t="shared" si="7"/>
        <v>15129</v>
      </c>
    </row>
    <row r="132" spans="1:11">
      <c r="A132" s="179" t="s">
        <v>429</v>
      </c>
      <c r="B132" s="179" t="s">
        <v>517</v>
      </c>
      <c r="C132" s="186">
        <v>38596</v>
      </c>
      <c r="D132" s="188">
        <f t="shared" si="6"/>
        <v>2005</v>
      </c>
      <c r="E132" s="183" t="s">
        <v>524</v>
      </c>
      <c r="F132" s="178">
        <v>300</v>
      </c>
      <c r="G132" s="178">
        <v>6045</v>
      </c>
      <c r="H132" s="178">
        <v>2541</v>
      </c>
      <c r="I132" s="178">
        <v>3504</v>
      </c>
      <c r="J132" s="32">
        <v>124</v>
      </c>
      <c r="K132" s="263">
        <f t="shared" si="7"/>
        <v>15376</v>
      </c>
    </row>
    <row r="133" spans="1:11">
      <c r="A133" s="179" t="s">
        <v>423</v>
      </c>
      <c r="B133" s="179" t="s">
        <v>516</v>
      </c>
      <c r="C133" s="186">
        <v>38597</v>
      </c>
      <c r="D133" s="188">
        <f t="shared" si="6"/>
        <v>2005</v>
      </c>
      <c r="E133" s="183" t="s">
        <v>523</v>
      </c>
      <c r="F133" s="178">
        <v>600</v>
      </c>
      <c r="G133" s="178">
        <v>14472</v>
      </c>
      <c r="H133" s="178">
        <v>5904</v>
      </c>
      <c r="I133" s="178">
        <v>8568</v>
      </c>
      <c r="J133" s="32">
        <v>125</v>
      </c>
      <c r="K133" s="263">
        <f t="shared" si="7"/>
        <v>15625</v>
      </c>
    </row>
    <row r="134" spans="1:11">
      <c r="A134" s="179" t="s">
        <v>429</v>
      </c>
      <c r="B134" s="179" t="s">
        <v>517</v>
      </c>
      <c r="C134" s="186">
        <v>38598</v>
      </c>
      <c r="D134" s="188">
        <f t="shared" si="6"/>
        <v>2005</v>
      </c>
      <c r="E134" s="183" t="s">
        <v>533</v>
      </c>
      <c r="F134" s="178">
        <v>200</v>
      </c>
      <c r="G134" s="178">
        <v>3632</v>
      </c>
      <c r="H134" s="178">
        <v>1694</v>
      </c>
      <c r="I134" s="178">
        <v>1938</v>
      </c>
      <c r="J134" s="32">
        <v>126</v>
      </c>
      <c r="K134" s="263">
        <f t="shared" si="7"/>
        <v>15876</v>
      </c>
    </row>
    <row r="135" spans="1:11">
      <c r="A135" s="179" t="s">
        <v>429</v>
      </c>
      <c r="B135" s="179" t="s">
        <v>518</v>
      </c>
      <c r="C135" s="186">
        <v>38600</v>
      </c>
      <c r="D135" s="188">
        <f t="shared" si="6"/>
        <v>2005</v>
      </c>
      <c r="E135" s="183" t="s">
        <v>537</v>
      </c>
      <c r="F135" s="178">
        <v>600</v>
      </c>
      <c r="G135" s="178">
        <v>12570</v>
      </c>
      <c r="H135" s="178">
        <v>6132</v>
      </c>
      <c r="I135" s="178">
        <v>6438</v>
      </c>
      <c r="J135" s="32">
        <v>127</v>
      </c>
      <c r="K135" s="263">
        <f t="shared" si="7"/>
        <v>16129</v>
      </c>
    </row>
    <row r="136" spans="1:11">
      <c r="A136" s="179" t="s">
        <v>429</v>
      </c>
      <c r="B136" s="179" t="s">
        <v>516</v>
      </c>
      <c r="C136" s="186">
        <v>38602</v>
      </c>
      <c r="D136" s="188">
        <f t="shared" si="6"/>
        <v>2005</v>
      </c>
      <c r="E136" s="183" t="s">
        <v>530</v>
      </c>
      <c r="F136" s="178">
        <v>600</v>
      </c>
      <c r="G136" s="178">
        <v>12798</v>
      </c>
      <c r="H136" s="178">
        <v>5904</v>
      </c>
      <c r="I136" s="178">
        <v>6894</v>
      </c>
      <c r="J136" s="32">
        <v>128</v>
      </c>
      <c r="K136" s="263">
        <f t="shared" si="7"/>
        <v>16384</v>
      </c>
    </row>
    <row r="137" spans="1:11">
      <c r="A137" s="179" t="s">
        <v>423</v>
      </c>
      <c r="B137" s="179" t="s">
        <v>517</v>
      </c>
      <c r="C137" s="186">
        <v>38606</v>
      </c>
      <c r="D137" s="188">
        <f t="shared" ref="D137:D200" si="8">YEAR(C137)</f>
        <v>2005</v>
      </c>
      <c r="E137" s="183" t="s">
        <v>530</v>
      </c>
      <c r="F137" s="178">
        <v>1000</v>
      </c>
      <c r="G137" s="178">
        <v>19250</v>
      </c>
      <c r="H137" s="178">
        <v>8470</v>
      </c>
      <c r="I137" s="178">
        <v>10780</v>
      </c>
      <c r="J137" s="32">
        <v>129</v>
      </c>
      <c r="K137" s="263">
        <f t="shared" si="7"/>
        <v>16641</v>
      </c>
    </row>
    <row r="138" spans="1:11">
      <c r="A138" s="179" t="s">
        <v>429</v>
      </c>
      <c r="B138" s="179" t="s">
        <v>516</v>
      </c>
      <c r="C138" s="186">
        <v>38607</v>
      </c>
      <c r="D138" s="188">
        <f t="shared" si="8"/>
        <v>2005</v>
      </c>
      <c r="E138" s="183" t="s">
        <v>531</v>
      </c>
      <c r="F138" s="178">
        <v>200</v>
      </c>
      <c r="G138" s="178">
        <v>4740</v>
      </c>
      <c r="H138" s="178">
        <v>1968</v>
      </c>
      <c r="I138" s="178">
        <v>2772</v>
      </c>
      <c r="J138" s="32">
        <v>130</v>
      </c>
      <c r="K138" s="263">
        <f t="shared" ref="K138:K201" si="9">J138*J138</f>
        <v>16900</v>
      </c>
    </row>
    <row r="139" spans="1:11">
      <c r="A139" s="179" t="s">
        <v>528</v>
      </c>
      <c r="B139" s="179" t="s">
        <v>517</v>
      </c>
      <c r="C139" s="186">
        <v>38608</v>
      </c>
      <c r="D139" s="188">
        <f t="shared" si="8"/>
        <v>2005</v>
      </c>
      <c r="E139" s="183" t="s">
        <v>531</v>
      </c>
      <c r="F139" s="178">
        <v>800</v>
      </c>
      <c r="G139" s="178">
        <v>15976</v>
      </c>
      <c r="H139" s="178">
        <v>6776</v>
      </c>
      <c r="I139" s="178">
        <v>9200</v>
      </c>
      <c r="J139" s="32">
        <v>131</v>
      </c>
      <c r="K139" s="263">
        <f t="shared" si="9"/>
        <v>17161</v>
      </c>
    </row>
    <row r="140" spans="1:11">
      <c r="A140" s="179" t="s">
        <v>423</v>
      </c>
      <c r="B140" s="179" t="s">
        <v>518</v>
      </c>
      <c r="C140" s="186">
        <v>38608</v>
      </c>
      <c r="D140" s="188">
        <f t="shared" si="8"/>
        <v>2005</v>
      </c>
      <c r="E140" s="183" t="s">
        <v>547</v>
      </c>
      <c r="F140" s="178">
        <v>500</v>
      </c>
      <c r="G140" s="178">
        <v>11680</v>
      </c>
      <c r="H140" s="178">
        <v>5110</v>
      </c>
      <c r="I140" s="178">
        <v>6570</v>
      </c>
      <c r="J140" s="32">
        <v>132</v>
      </c>
      <c r="K140" s="263">
        <f t="shared" si="9"/>
        <v>17424</v>
      </c>
    </row>
    <row r="141" spans="1:11">
      <c r="A141" s="179" t="s">
        <v>528</v>
      </c>
      <c r="B141" s="179" t="s">
        <v>518</v>
      </c>
      <c r="C141" s="186">
        <v>38610</v>
      </c>
      <c r="D141" s="188">
        <f t="shared" si="8"/>
        <v>2005</v>
      </c>
      <c r="E141" s="183" t="s">
        <v>531</v>
      </c>
      <c r="F141" s="178">
        <v>500</v>
      </c>
      <c r="G141" s="178">
        <v>10550</v>
      </c>
      <c r="H141" s="178">
        <v>5110</v>
      </c>
      <c r="I141" s="178">
        <v>5440</v>
      </c>
      <c r="J141" s="32">
        <v>133</v>
      </c>
      <c r="K141" s="263">
        <f t="shared" si="9"/>
        <v>17689</v>
      </c>
    </row>
    <row r="142" spans="1:11">
      <c r="A142" s="179" t="s">
        <v>429</v>
      </c>
      <c r="B142" s="179" t="s">
        <v>516</v>
      </c>
      <c r="C142" s="186">
        <v>38612</v>
      </c>
      <c r="D142" s="188">
        <f t="shared" si="8"/>
        <v>2005</v>
      </c>
      <c r="E142" s="183" t="s">
        <v>533</v>
      </c>
      <c r="F142" s="178">
        <v>400</v>
      </c>
      <c r="G142" s="178">
        <v>9760</v>
      </c>
      <c r="H142" s="178">
        <v>3936</v>
      </c>
      <c r="I142" s="178">
        <v>5824</v>
      </c>
      <c r="J142" s="32">
        <v>134</v>
      </c>
      <c r="K142" s="263">
        <f t="shared" si="9"/>
        <v>17956</v>
      </c>
    </row>
    <row r="143" spans="1:11">
      <c r="A143" s="179" t="s">
        <v>429</v>
      </c>
      <c r="B143" s="179" t="s">
        <v>517</v>
      </c>
      <c r="C143" s="186">
        <v>38614</v>
      </c>
      <c r="D143" s="188">
        <f t="shared" si="8"/>
        <v>2005</v>
      </c>
      <c r="E143" s="183" t="s">
        <v>543</v>
      </c>
      <c r="F143" s="178">
        <v>100</v>
      </c>
      <c r="G143" s="178">
        <v>1819</v>
      </c>
      <c r="H143" s="178">
        <v>847</v>
      </c>
      <c r="I143" s="178">
        <v>972</v>
      </c>
      <c r="J143" s="32">
        <v>135</v>
      </c>
      <c r="K143" s="263">
        <f t="shared" si="9"/>
        <v>18225</v>
      </c>
    </row>
    <row r="144" spans="1:11">
      <c r="A144" s="179" t="s">
        <v>528</v>
      </c>
      <c r="B144" s="179" t="s">
        <v>517</v>
      </c>
      <c r="C144" s="186">
        <v>38618</v>
      </c>
      <c r="D144" s="188">
        <f t="shared" si="8"/>
        <v>2005</v>
      </c>
      <c r="E144" s="183" t="s">
        <v>525</v>
      </c>
      <c r="F144" s="178">
        <v>900</v>
      </c>
      <c r="G144" s="178">
        <v>15255</v>
      </c>
      <c r="H144" s="178">
        <v>7623</v>
      </c>
      <c r="I144" s="178">
        <v>7632</v>
      </c>
      <c r="J144" s="32">
        <v>136</v>
      </c>
      <c r="K144" s="263">
        <f t="shared" si="9"/>
        <v>18496</v>
      </c>
    </row>
    <row r="145" spans="1:11">
      <c r="A145" s="179" t="s">
        <v>429</v>
      </c>
      <c r="B145" s="179" t="s">
        <v>516</v>
      </c>
      <c r="C145" s="186">
        <v>38619</v>
      </c>
      <c r="D145" s="188">
        <f t="shared" si="8"/>
        <v>2005</v>
      </c>
      <c r="E145" s="183" t="s">
        <v>533</v>
      </c>
      <c r="F145" s="178">
        <v>900</v>
      </c>
      <c r="G145" s="178">
        <v>18486</v>
      </c>
      <c r="H145" s="178">
        <v>8856</v>
      </c>
      <c r="I145" s="178">
        <v>9630</v>
      </c>
      <c r="J145" s="32">
        <v>137</v>
      </c>
      <c r="K145" s="263">
        <f t="shared" si="9"/>
        <v>18769</v>
      </c>
    </row>
    <row r="146" spans="1:11">
      <c r="A146" s="179" t="s">
        <v>528</v>
      </c>
      <c r="B146" s="179" t="s">
        <v>518</v>
      </c>
      <c r="C146" s="186">
        <v>38619</v>
      </c>
      <c r="D146" s="188">
        <f t="shared" si="8"/>
        <v>2005</v>
      </c>
      <c r="E146" s="183" t="s">
        <v>548</v>
      </c>
      <c r="F146" s="178">
        <v>300</v>
      </c>
      <c r="G146" s="178">
        <v>7167</v>
      </c>
      <c r="H146" s="178">
        <v>3066</v>
      </c>
      <c r="I146" s="178">
        <v>4101</v>
      </c>
      <c r="J146" s="32">
        <v>138</v>
      </c>
      <c r="K146" s="263">
        <f t="shared" si="9"/>
        <v>19044</v>
      </c>
    </row>
    <row r="147" spans="1:11">
      <c r="A147" s="179" t="s">
        <v>429</v>
      </c>
      <c r="B147" s="179" t="s">
        <v>516</v>
      </c>
      <c r="C147" s="186">
        <v>38619</v>
      </c>
      <c r="D147" s="188">
        <f t="shared" si="8"/>
        <v>2005</v>
      </c>
      <c r="E147" s="183" t="s">
        <v>524</v>
      </c>
      <c r="F147" s="178">
        <v>500</v>
      </c>
      <c r="G147" s="178">
        <v>10295</v>
      </c>
      <c r="H147" s="178">
        <v>4920</v>
      </c>
      <c r="I147" s="178">
        <v>5375</v>
      </c>
      <c r="J147" s="32">
        <v>139</v>
      </c>
      <c r="K147" s="263">
        <f t="shared" si="9"/>
        <v>19321</v>
      </c>
    </row>
    <row r="148" spans="1:11">
      <c r="A148" s="179" t="s">
        <v>429</v>
      </c>
      <c r="B148" s="179" t="s">
        <v>518</v>
      </c>
      <c r="C148" s="186">
        <v>38619</v>
      </c>
      <c r="D148" s="188">
        <f t="shared" si="8"/>
        <v>2005</v>
      </c>
      <c r="E148" s="183" t="s">
        <v>532</v>
      </c>
      <c r="F148" s="178">
        <v>500</v>
      </c>
      <c r="G148" s="178">
        <v>10935</v>
      </c>
      <c r="H148" s="178">
        <v>5110</v>
      </c>
      <c r="I148" s="178">
        <v>5825</v>
      </c>
      <c r="J148" s="32">
        <v>140</v>
      </c>
      <c r="K148" s="263">
        <f t="shared" si="9"/>
        <v>19600</v>
      </c>
    </row>
    <row r="149" spans="1:11">
      <c r="A149" s="179" t="s">
        <v>528</v>
      </c>
      <c r="B149" s="179" t="s">
        <v>517</v>
      </c>
      <c r="C149" s="186">
        <v>38623</v>
      </c>
      <c r="D149" s="188">
        <f t="shared" si="8"/>
        <v>2005</v>
      </c>
      <c r="E149" s="183" t="s">
        <v>533</v>
      </c>
      <c r="F149" s="178">
        <v>600</v>
      </c>
      <c r="G149" s="178">
        <v>10290</v>
      </c>
      <c r="H149" s="178">
        <v>5082</v>
      </c>
      <c r="I149" s="178">
        <v>5208</v>
      </c>
      <c r="J149" s="32">
        <v>141</v>
      </c>
      <c r="K149" s="263">
        <f t="shared" si="9"/>
        <v>19881</v>
      </c>
    </row>
    <row r="150" spans="1:11">
      <c r="A150" s="179" t="s">
        <v>429</v>
      </c>
      <c r="B150" s="179" t="s">
        <v>516</v>
      </c>
      <c r="C150" s="186">
        <v>38623</v>
      </c>
      <c r="D150" s="188">
        <f t="shared" si="8"/>
        <v>2005</v>
      </c>
      <c r="E150" s="183" t="s">
        <v>533</v>
      </c>
      <c r="F150" s="178">
        <v>200</v>
      </c>
      <c r="G150" s="178">
        <v>4186</v>
      </c>
      <c r="H150" s="178">
        <v>1968</v>
      </c>
      <c r="I150" s="178">
        <v>2218</v>
      </c>
      <c r="J150" s="32">
        <v>142</v>
      </c>
      <c r="K150" s="263">
        <f t="shared" si="9"/>
        <v>20164</v>
      </c>
    </row>
    <row r="151" spans="1:11">
      <c r="A151" s="179" t="s">
        <v>528</v>
      </c>
      <c r="B151" s="179" t="s">
        <v>517</v>
      </c>
      <c r="C151" s="186">
        <v>38626</v>
      </c>
      <c r="D151" s="188">
        <f t="shared" si="8"/>
        <v>2005</v>
      </c>
      <c r="E151" s="183" t="s">
        <v>532</v>
      </c>
      <c r="F151" s="178">
        <v>1000</v>
      </c>
      <c r="G151" s="178">
        <v>18290</v>
      </c>
      <c r="H151" s="178">
        <v>8470</v>
      </c>
      <c r="I151" s="178">
        <v>9820</v>
      </c>
      <c r="J151" s="32">
        <v>143</v>
      </c>
      <c r="K151" s="263">
        <f t="shared" si="9"/>
        <v>20449</v>
      </c>
    </row>
    <row r="152" spans="1:11">
      <c r="A152" s="179" t="s">
        <v>528</v>
      </c>
      <c r="B152" s="179" t="s">
        <v>517</v>
      </c>
      <c r="C152" s="186">
        <v>38627</v>
      </c>
      <c r="D152" s="188">
        <f t="shared" si="8"/>
        <v>2005</v>
      </c>
      <c r="E152" s="183" t="s">
        <v>525</v>
      </c>
      <c r="F152" s="178">
        <v>500</v>
      </c>
      <c r="G152" s="178">
        <v>9460</v>
      </c>
      <c r="H152" s="178">
        <v>4235</v>
      </c>
      <c r="I152" s="178">
        <v>5225</v>
      </c>
      <c r="J152" s="32">
        <v>144</v>
      </c>
      <c r="K152" s="263">
        <f t="shared" si="9"/>
        <v>20736</v>
      </c>
    </row>
    <row r="153" spans="1:11">
      <c r="A153" s="179" t="s">
        <v>429</v>
      </c>
      <c r="B153" s="179" t="s">
        <v>516</v>
      </c>
      <c r="C153" s="186">
        <v>38627</v>
      </c>
      <c r="D153" s="188">
        <f t="shared" si="8"/>
        <v>2005</v>
      </c>
      <c r="E153" s="183" t="s">
        <v>537</v>
      </c>
      <c r="F153" s="178">
        <v>600</v>
      </c>
      <c r="G153" s="178">
        <v>14580</v>
      </c>
      <c r="H153" s="178">
        <v>5904</v>
      </c>
      <c r="I153" s="178">
        <v>8676</v>
      </c>
      <c r="J153" s="32">
        <v>145</v>
      </c>
      <c r="K153" s="263">
        <f t="shared" si="9"/>
        <v>21025</v>
      </c>
    </row>
    <row r="154" spans="1:11">
      <c r="A154" s="179" t="s">
        <v>528</v>
      </c>
      <c r="B154" s="179" t="s">
        <v>516</v>
      </c>
      <c r="C154" s="186">
        <v>38629</v>
      </c>
      <c r="D154" s="188">
        <f t="shared" si="8"/>
        <v>2005</v>
      </c>
      <c r="E154" s="183" t="s">
        <v>524</v>
      </c>
      <c r="F154" s="178">
        <v>300</v>
      </c>
      <c r="G154" s="178">
        <v>6159</v>
      </c>
      <c r="H154" s="178">
        <v>2952</v>
      </c>
      <c r="I154" s="178">
        <v>3207</v>
      </c>
      <c r="J154" s="32">
        <v>146</v>
      </c>
      <c r="K154" s="263">
        <f t="shared" si="9"/>
        <v>21316</v>
      </c>
    </row>
    <row r="155" spans="1:11">
      <c r="A155" s="179" t="s">
        <v>423</v>
      </c>
      <c r="B155" s="179" t="s">
        <v>518</v>
      </c>
      <c r="C155" s="186">
        <v>38633</v>
      </c>
      <c r="D155" s="188">
        <f t="shared" si="8"/>
        <v>2005</v>
      </c>
      <c r="E155" s="183" t="s">
        <v>532</v>
      </c>
      <c r="F155" s="178">
        <v>1000</v>
      </c>
      <c r="G155" s="178">
        <v>24070</v>
      </c>
      <c r="H155" s="178">
        <v>10220</v>
      </c>
      <c r="I155" s="178">
        <v>13850</v>
      </c>
      <c r="J155" s="32">
        <v>147</v>
      </c>
      <c r="K155" s="263">
        <f t="shared" si="9"/>
        <v>21609</v>
      </c>
    </row>
    <row r="156" spans="1:11">
      <c r="A156" s="179" t="s">
        <v>528</v>
      </c>
      <c r="B156" s="179" t="s">
        <v>516</v>
      </c>
      <c r="C156" s="186">
        <v>38637</v>
      </c>
      <c r="D156" s="188">
        <f t="shared" si="8"/>
        <v>2005</v>
      </c>
      <c r="E156" s="183" t="s">
        <v>537</v>
      </c>
      <c r="F156" s="178">
        <v>300</v>
      </c>
      <c r="G156" s="178">
        <v>7245</v>
      </c>
      <c r="H156" s="178">
        <v>2952</v>
      </c>
      <c r="I156" s="178">
        <v>4293</v>
      </c>
      <c r="J156" s="32">
        <v>148</v>
      </c>
      <c r="K156" s="263">
        <f t="shared" si="9"/>
        <v>21904</v>
      </c>
    </row>
    <row r="157" spans="1:11">
      <c r="A157" s="179" t="s">
        <v>423</v>
      </c>
      <c r="B157" s="179" t="s">
        <v>516</v>
      </c>
      <c r="C157" s="186">
        <v>38638</v>
      </c>
      <c r="D157" s="188">
        <f t="shared" si="8"/>
        <v>2005</v>
      </c>
      <c r="E157" s="183" t="s">
        <v>534</v>
      </c>
      <c r="F157" s="178">
        <v>300</v>
      </c>
      <c r="G157" s="178">
        <v>6582</v>
      </c>
      <c r="H157" s="178">
        <v>2952</v>
      </c>
      <c r="I157" s="178">
        <v>3630</v>
      </c>
      <c r="J157" s="32">
        <v>149</v>
      </c>
      <c r="K157" s="263">
        <f t="shared" si="9"/>
        <v>22201</v>
      </c>
    </row>
    <row r="158" spans="1:11">
      <c r="A158" s="179" t="s">
        <v>528</v>
      </c>
      <c r="B158" s="179" t="s">
        <v>517</v>
      </c>
      <c r="C158" s="186">
        <v>38638</v>
      </c>
      <c r="D158" s="188">
        <f t="shared" si="8"/>
        <v>2005</v>
      </c>
      <c r="E158" s="183" t="s">
        <v>524</v>
      </c>
      <c r="F158" s="178">
        <v>600</v>
      </c>
      <c r="G158" s="178">
        <v>11922</v>
      </c>
      <c r="H158" s="178">
        <v>5082</v>
      </c>
      <c r="I158" s="178">
        <v>6840</v>
      </c>
      <c r="J158" s="32">
        <v>150</v>
      </c>
      <c r="K158" s="263">
        <f t="shared" si="9"/>
        <v>22500</v>
      </c>
    </row>
    <row r="159" spans="1:11">
      <c r="A159" s="179" t="s">
        <v>528</v>
      </c>
      <c r="B159" s="179" t="s">
        <v>518</v>
      </c>
      <c r="C159" s="186">
        <v>38639</v>
      </c>
      <c r="D159" s="188">
        <f t="shared" si="8"/>
        <v>2005</v>
      </c>
      <c r="E159" s="183" t="s">
        <v>531</v>
      </c>
      <c r="F159" s="178">
        <v>400</v>
      </c>
      <c r="G159" s="178">
        <v>8804</v>
      </c>
      <c r="H159" s="178">
        <v>4088</v>
      </c>
      <c r="I159" s="178">
        <v>4716</v>
      </c>
      <c r="J159" s="32">
        <v>151</v>
      </c>
      <c r="K159" s="263">
        <f t="shared" si="9"/>
        <v>22801</v>
      </c>
    </row>
    <row r="160" spans="1:11">
      <c r="A160" s="179" t="s">
        <v>429</v>
      </c>
      <c r="B160" s="179" t="s">
        <v>517</v>
      </c>
      <c r="C160" s="186">
        <v>38642</v>
      </c>
      <c r="D160" s="188">
        <f t="shared" si="8"/>
        <v>2005</v>
      </c>
      <c r="E160" s="183" t="s">
        <v>525</v>
      </c>
      <c r="F160" s="178">
        <v>600</v>
      </c>
      <c r="G160" s="178">
        <v>12318</v>
      </c>
      <c r="H160" s="178">
        <v>5082</v>
      </c>
      <c r="I160" s="178">
        <v>7236</v>
      </c>
      <c r="J160" s="32">
        <v>152</v>
      </c>
      <c r="K160" s="263">
        <f t="shared" si="9"/>
        <v>23104</v>
      </c>
    </row>
    <row r="161" spans="1:11">
      <c r="A161" s="179" t="s">
        <v>528</v>
      </c>
      <c r="B161" s="179" t="s">
        <v>517</v>
      </c>
      <c r="C161" s="186">
        <v>38644</v>
      </c>
      <c r="D161" s="188">
        <f t="shared" si="8"/>
        <v>2005</v>
      </c>
      <c r="E161" s="183" t="s">
        <v>531</v>
      </c>
      <c r="F161" s="178">
        <v>700</v>
      </c>
      <c r="G161" s="178">
        <v>13433</v>
      </c>
      <c r="H161" s="178">
        <v>5929</v>
      </c>
      <c r="I161" s="178">
        <v>7504</v>
      </c>
      <c r="J161" s="32">
        <v>153</v>
      </c>
      <c r="K161" s="263">
        <f t="shared" si="9"/>
        <v>23409</v>
      </c>
    </row>
    <row r="162" spans="1:11">
      <c r="A162" s="179" t="s">
        <v>528</v>
      </c>
      <c r="B162" s="179" t="s">
        <v>518</v>
      </c>
      <c r="C162" s="186">
        <v>38646</v>
      </c>
      <c r="D162" s="188">
        <f t="shared" si="8"/>
        <v>2005</v>
      </c>
      <c r="E162" s="183" t="s">
        <v>533</v>
      </c>
      <c r="F162" s="178">
        <v>600</v>
      </c>
      <c r="G162" s="178">
        <v>12480</v>
      </c>
      <c r="H162" s="178">
        <v>6132</v>
      </c>
      <c r="I162" s="178">
        <v>6348</v>
      </c>
      <c r="J162" s="32">
        <v>154</v>
      </c>
      <c r="K162" s="263">
        <f t="shared" si="9"/>
        <v>23716</v>
      </c>
    </row>
    <row r="163" spans="1:11">
      <c r="A163" s="179" t="s">
        <v>423</v>
      </c>
      <c r="B163" s="179" t="s">
        <v>516</v>
      </c>
      <c r="C163" s="186">
        <v>38647</v>
      </c>
      <c r="D163" s="188">
        <f t="shared" si="8"/>
        <v>2005</v>
      </c>
      <c r="E163" s="183" t="s">
        <v>532</v>
      </c>
      <c r="F163" s="178">
        <v>800</v>
      </c>
      <c r="G163" s="178">
        <v>17544</v>
      </c>
      <c r="H163" s="178">
        <v>7872</v>
      </c>
      <c r="I163" s="178">
        <v>9672</v>
      </c>
      <c r="J163" s="32">
        <v>155</v>
      </c>
      <c r="K163" s="263">
        <f t="shared" si="9"/>
        <v>24025</v>
      </c>
    </row>
    <row r="164" spans="1:11">
      <c r="A164" s="179" t="s">
        <v>429</v>
      </c>
      <c r="B164" s="179" t="s">
        <v>516</v>
      </c>
      <c r="C164" s="186">
        <v>38650</v>
      </c>
      <c r="D164" s="188">
        <f t="shared" si="8"/>
        <v>2005</v>
      </c>
      <c r="E164" s="183" t="s">
        <v>531</v>
      </c>
      <c r="F164" s="178">
        <v>100</v>
      </c>
      <c r="G164" s="178">
        <v>2272</v>
      </c>
      <c r="H164" s="178">
        <v>984</v>
      </c>
      <c r="I164" s="178">
        <v>1288</v>
      </c>
      <c r="J164" s="32">
        <v>156</v>
      </c>
      <c r="K164" s="263">
        <f t="shared" si="9"/>
        <v>24336</v>
      </c>
    </row>
    <row r="165" spans="1:11">
      <c r="A165" s="179" t="s">
        <v>423</v>
      </c>
      <c r="B165" s="179" t="s">
        <v>516</v>
      </c>
      <c r="C165" s="186">
        <v>38650</v>
      </c>
      <c r="D165" s="188">
        <f t="shared" si="8"/>
        <v>2005</v>
      </c>
      <c r="E165" s="183" t="s">
        <v>532</v>
      </c>
      <c r="F165" s="178">
        <v>900</v>
      </c>
      <c r="G165" s="178">
        <v>18099</v>
      </c>
      <c r="H165" s="178">
        <v>8856</v>
      </c>
      <c r="I165" s="178">
        <v>9243</v>
      </c>
      <c r="J165" s="32">
        <v>157</v>
      </c>
      <c r="K165" s="263">
        <f t="shared" si="9"/>
        <v>24649</v>
      </c>
    </row>
    <row r="166" spans="1:11">
      <c r="A166" s="179" t="s">
        <v>528</v>
      </c>
      <c r="B166" s="179" t="s">
        <v>517</v>
      </c>
      <c r="C166" s="186">
        <v>38655</v>
      </c>
      <c r="D166" s="188">
        <f t="shared" si="8"/>
        <v>2005</v>
      </c>
      <c r="E166" s="183" t="s">
        <v>531</v>
      </c>
      <c r="F166" s="178">
        <v>300</v>
      </c>
      <c r="G166" s="178">
        <v>5847</v>
      </c>
      <c r="H166" s="178">
        <v>2541</v>
      </c>
      <c r="I166" s="178">
        <v>3306</v>
      </c>
      <c r="J166" s="32">
        <v>158</v>
      </c>
      <c r="K166" s="263">
        <f t="shared" si="9"/>
        <v>24964</v>
      </c>
    </row>
    <row r="167" spans="1:11">
      <c r="A167" s="179" t="s">
        <v>528</v>
      </c>
      <c r="B167" s="179" t="s">
        <v>516</v>
      </c>
      <c r="C167" s="186">
        <v>38656</v>
      </c>
      <c r="D167" s="188">
        <f t="shared" si="8"/>
        <v>2005</v>
      </c>
      <c r="E167" s="183" t="s">
        <v>537</v>
      </c>
      <c r="F167" s="178">
        <v>700</v>
      </c>
      <c r="G167" s="178">
        <v>17213</v>
      </c>
      <c r="H167" s="178">
        <v>6888</v>
      </c>
      <c r="I167" s="178">
        <v>10325</v>
      </c>
      <c r="J167" s="32">
        <v>159</v>
      </c>
      <c r="K167" s="263">
        <f t="shared" si="9"/>
        <v>25281</v>
      </c>
    </row>
    <row r="168" spans="1:11">
      <c r="A168" s="179" t="s">
        <v>429</v>
      </c>
      <c r="B168" s="179" t="s">
        <v>518</v>
      </c>
      <c r="C168" s="186">
        <v>38656</v>
      </c>
      <c r="D168" s="188">
        <f t="shared" si="8"/>
        <v>2005</v>
      </c>
      <c r="E168" s="183" t="s">
        <v>533</v>
      </c>
      <c r="F168" s="178">
        <v>100</v>
      </c>
      <c r="G168" s="178">
        <v>2095</v>
      </c>
      <c r="H168" s="178">
        <v>1022</v>
      </c>
      <c r="I168" s="178">
        <v>1073</v>
      </c>
      <c r="J168" s="32">
        <v>160</v>
      </c>
      <c r="K168" s="263">
        <f t="shared" si="9"/>
        <v>25600</v>
      </c>
    </row>
    <row r="169" spans="1:11">
      <c r="A169" s="179" t="s">
        <v>429</v>
      </c>
      <c r="B169" s="179" t="s">
        <v>517</v>
      </c>
      <c r="C169" s="186">
        <v>38658</v>
      </c>
      <c r="D169" s="188">
        <f t="shared" si="8"/>
        <v>2005</v>
      </c>
      <c r="E169" s="183" t="s">
        <v>523</v>
      </c>
      <c r="F169" s="178">
        <v>600</v>
      </c>
      <c r="G169" s="178">
        <v>11598</v>
      </c>
      <c r="H169" s="178">
        <v>5082</v>
      </c>
      <c r="I169" s="178">
        <v>6516</v>
      </c>
      <c r="J169" s="32">
        <v>161</v>
      </c>
      <c r="K169" s="263">
        <f t="shared" si="9"/>
        <v>25921</v>
      </c>
    </row>
    <row r="170" spans="1:11">
      <c r="A170" s="179" t="s">
        <v>528</v>
      </c>
      <c r="B170" s="179" t="s">
        <v>516</v>
      </c>
      <c r="C170" s="186">
        <v>38658</v>
      </c>
      <c r="D170" s="188">
        <f t="shared" si="8"/>
        <v>2005</v>
      </c>
      <c r="E170" s="183" t="s">
        <v>534</v>
      </c>
      <c r="F170" s="178">
        <v>200</v>
      </c>
      <c r="G170" s="178">
        <v>4286</v>
      </c>
      <c r="H170" s="178">
        <v>1968</v>
      </c>
      <c r="I170" s="178">
        <v>2318</v>
      </c>
      <c r="J170" s="32">
        <v>162</v>
      </c>
      <c r="K170" s="263">
        <f t="shared" si="9"/>
        <v>26244</v>
      </c>
    </row>
    <row r="171" spans="1:11">
      <c r="A171" s="179" t="s">
        <v>528</v>
      </c>
      <c r="B171" s="179" t="s">
        <v>518</v>
      </c>
      <c r="C171" s="186">
        <v>38659</v>
      </c>
      <c r="D171" s="188">
        <f t="shared" si="8"/>
        <v>2005</v>
      </c>
      <c r="E171" s="183" t="s">
        <v>523</v>
      </c>
      <c r="F171" s="178">
        <v>100</v>
      </c>
      <c r="G171" s="178">
        <v>2320</v>
      </c>
      <c r="H171" s="178">
        <v>1022</v>
      </c>
      <c r="I171" s="178">
        <v>1298</v>
      </c>
      <c r="J171" s="32">
        <v>163</v>
      </c>
      <c r="K171" s="263">
        <f t="shared" si="9"/>
        <v>26569</v>
      </c>
    </row>
    <row r="172" spans="1:11">
      <c r="A172" s="179" t="s">
        <v>429</v>
      </c>
      <c r="B172" s="179" t="s">
        <v>516</v>
      </c>
      <c r="C172" s="186">
        <v>38660</v>
      </c>
      <c r="D172" s="188">
        <f t="shared" si="8"/>
        <v>2005</v>
      </c>
      <c r="E172" s="183" t="s">
        <v>531</v>
      </c>
      <c r="F172" s="178">
        <v>300</v>
      </c>
      <c r="G172" s="178">
        <v>6588</v>
      </c>
      <c r="H172" s="178">
        <v>2952</v>
      </c>
      <c r="I172" s="178">
        <v>3636</v>
      </c>
      <c r="J172" s="32">
        <v>164</v>
      </c>
      <c r="K172" s="263">
        <f t="shared" si="9"/>
        <v>26896</v>
      </c>
    </row>
    <row r="173" spans="1:11">
      <c r="A173" s="179" t="s">
        <v>429</v>
      </c>
      <c r="B173" s="179" t="s">
        <v>517</v>
      </c>
      <c r="C173" s="186">
        <v>38662</v>
      </c>
      <c r="D173" s="188">
        <f t="shared" si="8"/>
        <v>2005</v>
      </c>
      <c r="E173" s="183" t="s">
        <v>524</v>
      </c>
      <c r="F173" s="178">
        <v>700</v>
      </c>
      <c r="G173" s="178">
        <v>13195</v>
      </c>
      <c r="H173" s="178">
        <v>5929</v>
      </c>
      <c r="I173" s="178">
        <v>7266</v>
      </c>
      <c r="J173" s="32">
        <v>165</v>
      </c>
      <c r="K173" s="263">
        <f t="shared" si="9"/>
        <v>27225</v>
      </c>
    </row>
    <row r="174" spans="1:11">
      <c r="A174" s="179" t="s">
        <v>528</v>
      </c>
      <c r="B174" s="179" t="s">
        <v>517</v>
      </c>
      <c r="C174" s="186">
        <v>38664</v>
      </c>
      <c r="D174" s="188">
        <f t="shared" si="8"/>
        <v>2005</v>
      </c>
      <c r="E174" s="183" t="s">
        <v>525</v>
      </c>
      <c r="F174" s="178">
        <v>100</v>
      </c>
      <c r="G174" s="178">
        <v>1795</v>
      </c>
      <c r="H174" s="178">
        <v>847</v>
      </c>
      <c r="I174" s="178">
        <v>948</v>
      </c>
      <c r="J174" s="32">
        <v>166</v>
      </c>
      <c r="K174" s="263">
        <f t="shared" si="9"/>
        <v>27556</v>
      </c>
    </row>
    <row r="175" spans="1:11">
      <c r="A175" s="179" t="s">
        <v>429</v>
      </c>
      <c r="B175" s="179" t="s">
        <v>517</v>
      </c>
      <c r="C175" s="186">
        <v>38664</v>
      </c>
      <c r="D175" s="188">
        <f t="shared" si="8"/>
        <v>2005</v>
      </c>
      <c r="E175" s="183" t="s">
        <v>525</v>
      </c>
      <c r="F175" s="178">
        <v>300</v>
      </c>
      <c r="G175" s="178">
        <v>5370</v>
      </c>
      <c r="H175" s="178">
        <v>2541</v>
      </c>
      <c r="I175" s="178">
        <v>2829</v>
      </c>
      <c r="J175" s="32">
        <v>167</v>
      </c>
      <c r="K175" s="263">
        <f t="shared" si="9"/>
        <v>27889</v>
      </c>
    </row>
    <row r="176" spans="1:11">
      <c r="A176" s="179" t="s">
        <v>528</v>
      </c>
      <c r="B176" s="179" t="s">
        <v>517</v>
      </c>
      <c r="C176" s="186">
        <v>38667</v>
      </c>
      <c r="D176" s="188">
        <f t="shared" si="8"/>
        <v>2005</v>
      </c>
      <c r="E176" s="183" t="s">
        <v>532</v>
      </c>
      <c r="F176" s="178">
        <v>200</v>
      </c>
      <c r="G176" s="178">
        <v>3756</v>
      </c>
      <c r="H176" s="178">
        <v>1694</v>
      </c>
      <c r="I176" s="178">
        <v>2062</v>
      </c>
      <c r="J176" s="32">
        <v>168</v>
      </c>
      <c r="K176" s="263">
        <f t="shared" si="9"/>
        <v>28224</v>
      </c>
    </row>
    <row r="177" spans="1:11">
      <c r="A177" s="179" t="s">
        <v>429</v>
      </c>
      <c r="B177" s="179" t="s">
        <v>517</v>
      </c>
      <c r="C177" s="186">
        <v>38668</v>
      </c>
      <c r="D177" s="188">
        <f t="shared" si="8"/>
        <v>2005</v>
      </c>
      <c r="E177" s="183" t="s">
        <v>530</v>
      </c>
      <c r="F177" s="178">
        <v>900</v>
      </c>
      <c r="G177" s="178">
        <v>18072</v>
      </c>
      <c r="H177" s="178">
        <v>7623</v>
      </c>
      <c r="I177" s="178">
        <v>10449</v>
      </c>
      <c r="J177" s="32">
        <v>169</v>
      </c>
      <c r="K177" s="263">
        <f t="shared" si="9"/>
        <v>28561</v>
      </c>
    </row>
    <row r="178" spans="1:11">
      <c r="A178" s="179" t="s">
        <v>528</v>
      </c>
      <c r="B178" s="179" t="s">
        <v>518</v>
      </c>
      <c r="C178" s="186">
        <v>38671</v>
      </c>
      <c r="D178" s="188">
        <f t="shared" si="8"/>
        <v>2005</v>
      </c>
      <c r="E178" s="183" t="s">
        <v>532</v>
      </c>
      <c r="F178" s="178">
        <v>1000</v>
      </c>
      <c r="G178" s="178">
        <v>23810</v>
      </c>
      <c r="H178" s="178">
        <v>10220</v>
      </c>
      <c r="I178" s="178">
        <v>13590</v>
      </c>
      <c r="J178" s="32">
        <v>170</v>
      </c>
      <c r="K178" s="263">
        <f t="shared" si="9"/>
        <v>28900</v>
      </c>
    </row>
    <row r="179" spans="1:11">
      <c r="A179" s="179" t="s">
        <v>528</v>
      </c>
      <c r="B179" s="179" t="s">
        <v>517</v>
      </c>
      <c r="C179" s="186">
        <v>38674</v>
      </c>
      <c r="D179" s="188">
        <f t="shared" si="8"/>
        <v>2005</v>
      </c>
      <c r="E179" s="183" t="s">
        <v>532</v>
      </c>
      <c r="F179" s="178">
        <v>900</v>
      </c>
      <c r="G179" s="178">
        <v>17883</v>
      </c>
      <c r="H179" s="178">
        <v>7623</v>
      </c>
      <c r="I179" s="178">
        <v>10260</v>
      </c>
      <c r="J179" s="32">
        <v>171</v>
      </c>
      <c r="K179" s="263">
        <f t="shared" si="9"/>
        <v>29241</v>
      </c>
    </row>
    <row r="180" spans="1:11">
      <c r="A180" s="179" t="s">
        <v>429</v>
      </c>
      <c r="B180" s="179" t="s">
        <v>517</v>
      </c>
      <c r="C180" s="186">
        <v>38675</v>
      </c>
      <c r="D180" s="188">
        <f t="shared" si="8"/>
        <v>2005</v>
      </c>
      <c r="E180" s="183" t="s">
        <v>529</v>
      </c>
      <c r="F180" s="178">
        <v>100</v>
      </c>
      <c r="G180" s="178">
        <v>1877</v>
      </c>
      <c r="H180" s="178">
        <v>847</v>
      </c>
      <c r="I180" s="178">
        <v>1030</v>
      </c>
      <c r="J180" s="32">
        <v>172</v>
      </c>
      <c r="K180" s="263">
        <f t="shared" si="9"/>
        <v>29584</v>
      </c>
    </row>
    <row r="181" spans="1:11">
      <c r="A181" s="179" t="s">
        <v>429</v>
      </c>
      <c r="B181" s="179" t="s">
        <v>517</v>
      </c>
      <c r="C181" s="186">
        <v>38675</v>
      </c>
      <c r="D181" s="188">
        <f t="shared" si="8"/>
        <v>2005</v>
      </c>
      <c r="E181" s="183" t="s">
        <v>529</v>
      </c>
      <c r="F181" s="178">
        <v>100</v>
      </c>
      <c r="G181" s="178">
        <v>1836</v>
      </c>
      <c r="H181" s="178">
        <v>847</v>
      </c>
      <c r="I181" s="178">
        <v>989</v>
      </c>
      <c r="J181" s="32">
        <v>173</v>
      </c>
      <c r="K181" s="263">
        <f t="shared" si="9"/>
        <v>29929</v>
      </c>
    </row>
    <row r="182" spans="1:11">
      <c r="A182" s="179" t="s">
        <v>528</v>
      </c>
      <c r="B182" s="179" t="s">
        <v>516</v>
      </c>
      <c r="C182" s="186">
        <v>38677</v>
      </c>
      <c r="D182" s="188">
        <f t="shared" si="8"/>
        <v>2005</v>
      </c>
      <c r="E182" s="183" t="s">
        <v>531</v>
      </c>
      <c r="F182" s="178">
        <v>500</v>
      </c>
      <c r="G182" s="178">
        <v>11250</v>
      </c>
      <c r="H182" s="178">
        <v>4920</v>
      </c>
      <c r="I182" s="178">
        <v>6330</v>
      </c>
      <c r="J182" s="32">
        <v>174</v>
      </c>
      <c r="K182" s="263">
        <f t="shared" si="9"/>
        <v>30276</v>
      </c>
    </row>
    <row r="183" spans="1:11">
      <c r="A183" s="179" t="s">
        <v>429</v>
      </c>
      <c r="B183" s="179" t="s">
        <v>518</v>
      </c>
      <c r="C183" s="186">
        <v>38682</v>
      </c>
      <c r="D183" s="188">
        <f t="shared" si="8"/>
        <v>2005</v>
      </c>
      <c r="E183" s="183" t="s">
        <v>523</v>
      </c>
      <c r="F183" s="178">
        <v>600</v>
      </c>
      <c r="G183" s="178">
        <v>12984</v>
      </c>
      <c r="H183" s="178">
        <v>6132</v>
      </c>
      <c r="I183" s="178">
        <v>6852</v>
      </c>
      <c r="J183" s="32">
        <v>175</v>
      </c>
      <c r="K183" s="263">
        <f t="shared" si="9"/>
        <v>30625</v>
      </c>
    </row>
    <row r="184" spans="1:11">
      <c r="A184" s="179" t="s">
        <v>429</v>
      </c>
      <c r="B184" s="179" t="s">
        <v>518</v>
      </c>
      <c r="C184" s="186">
        <v>38684</v>
      </c>
      <c r="D184" s="188">
        <f t="shared" si="8"/>
        <v>2005</v>
      </c>
      <c r="E184" s="183" t="s">
        <v>530</v>
      </c>
      <c r="F184" s="178">
        <v>800</v>
      </c>
      <c r="G184" s="178">
        <v>18208</v>
      </c>
      <c r="H184" s="178">
        <v>8176</v>
      </c>
      <c r="I184" s="178">
        <v>10032</v>
      </c>
      <c r="J184" s="32">
        <v>176</v>
      </c>
      <c r="K184" s="263">
        <f t="shared" si="9"/>
        <v>30976</v>
      </c>
    </row>
    <row r="185" spans="1:11">
      <c r="A185" s="179" t="s">
        <v>528</v>
      </c>
      <c r="B185" s="179" t="s">
        <v>516</v>
      </c>
      <c r="C185" s="186">
        <v>38687</v>
      </c>
      <c r="D185" s="188">
        <f t="shared" si="8"/>
        <v>2005</v>
      </c>
      <c r="E185" s="183" t="s">
        <v>529</v>
      </c>
      <c r="F185" s="178">
        <v>100</v>
      </c>
      <c r="G185" s="178">
        <v>2221</v>
      </c>
      <c r="H185" s="178">
        <v>984</v>
      </c>
      <c r="I185" s="178">
        <v>1237</v>
      </c>
      <c r="J185" s="32">
        <v>177</v>
      </c>
      <c r="K185" s="263">
        <f t="shared" si="9"/>
        <v>31329</v>
      </c>
    </row>
    <row r="186" spans="1:11">
      <c r="A186" s="179" t="s">
        <v>429</v>
      </c>
      <c r="B186" s="179" t="s">
        <v>517</v>
      </c>
      <c r="C186" s="186">
        <v>38688</v>
      </c>
      <c r="D186" s="188">
        <f t="shared" si="8"/>
        <v>2005</v>
      </c>
      <c r="E186" s="183" t="s">
        <v>531</v>
      </c>
      <c r="F186" s="178">
        <v>600</v>
      </c>
      <c r="G186" s="178">
        <v>12330</v>
      </c>
      <c r="H186" s="178">
        <v>5082</v>
      </c>
      <c r="I186" s="178">
        <v>7248</v>
      </c>
      <c r="J186" s="32">
        <v>178</v>
      </c>
      <c r="K186" s="263">
        <f t="shared" si="9"/>
        <v>31684</v>
      </c>
    </row>
    <row r="187" spans="1:11">
      <c r="A187" s="179" t="s">
        <v>528</v>
      </c>
      <c r="B187" s="179" t="s">
        <v>518</v>
      </c>
      <c r="C187" s="186">
        <v>38688</v>
      </c>
      <c r="D187" s="188">
        <f t="shared" si="8"/>
        <v>2005</v>
      </c>
      <c r="E187" s="183" t="s">
        <v>523</v>
      </c>
      <c r="F187" s="178">
        <v>900</v>
      </c>
      <c r="G187" s="178">
        <v>21960</v>
      </c>
      <c r="H187" s="178">
        <v>9198</v>
      </c>
      <c r="I187" s="178">
        <v>12762</v>
      </c>
      <c r="J187" s="32">
        <v>179</v>
      </c>
      <c r="K187" s="263">
        <f t="shared" si="9"/>
        <v>32041</v>
      </c>
    </row>
    <row r="188" spans="1:11">
      <c r="A188" s="179" t="s">
        <v>429</v>
      </c>
      <c r="B188" s="179" t="s">
        <v>516</v>
      </c>
      <c r="C188" s="186">
        <v>38690</v>
      </c>
      <c r="D188" s="188">
        <f t="shared" si="8"/>
        <v>2005</v>
      </c>
      <c r="E188" s="183" t="s">
        <v>529</v>
      </c>
      <c r="F188" s="178">
        <v>600</v>
      </c>
      <c r="G188" s="178">
        <v>13566</v>
      </c>
      <c r="H188" s="178">
        <v>5904</v>
      </c>
      <c r="I188" s="178">
        <v>7662</v>
      </c>
      <c r="J188" s="32">
        <v>180</v>
      </c>
      <c r="K188" s="263">
        <f t="shared" si="9"/>
        <v>32400</v>
      </c>
    </row>
    <row r="189" spans="1:11">
      <c r="A189" s="179" t="s">
        <v>528</v>
      </c>
      <c r="B189" s="179" t="s">
        <v>517</v>
      </c>
      <c r="C189" s="186">
        <v>38690</v>
      </c>
      <c r="D189" s="188">
        <f t="shared" si="8"/>
        <v>2005</v>
      </c>
      <c r="E189" s="183" t="s">
        <v>533</v>
      </c>
      <c r="F189" s="178">
        <v>900</v>
      </c>
      <c r="G189" s="178">
        <v>15363</v>
      </c>
      <c r="H189" s="178">
        <v>7623</v>
      </c>
      <c r="I189" s="178">
        <v>7740</v>
      </c>
      <c r="J189" s="32">
        <v>181</v>
      </c>
      <c r="K189" s="263">
        <f t="shared" si="9"/>
        <v>32761</v>
      </c>
    </row>
    <row r="190" spans="1:11">
      <c r="A190" s="179" t="s">
        <v>528</v>
      </c>
      <c r="B190" s="179" t="s">
        <v>518</v>
      </c>
      <c r="C190" s="186">
        <v>38690</v>
      </c>
      <c r="D190" s="188">
        <f t="shared" si="8"/>
        <v>2005</v>
      </c>
      <c r="E190" s="183" t="s">
        <v>532</v>
      </c>
      <c r="F190" s="178">
        <v>500</v>
      </c>
      <c r="G190" s="178">
        <v>12625</v>
      </c>
      <c r="H190" s="178">
        <v>5110</v>
      </c>
      <c r="I190" s="178">
        <v>7515</v>
      </c>
      <c r="J190" s="32">
        <v>182</v>
      </c>
      <c r="K190" s="263">
        <f t="shared" si="9"/>
        <v>33124</v>
      </c>
    </row>
    <row r="191" spans="1:11">
      <c r="A191" s="179" t="s">
        <v>528</v>
      </c>
      <c r="B191" s="179" t="s">
        <v>518</v>
      </c>
      <c r="C191" s="186">
        <v>38692</v>
      </c>
      <c r="D191" s="188">
        <f t="shared" si="8"/>
        <v>2005</v>
      </c>
      <c r="E191" s="183" t="s">
        <v>532</v>
      </c>
      <c r="F191" s="178">
        <v>900</v>
      </c>
      <c r="G191" s="178">
        <v>21888</v>
      </c>
      <c r="H191" s="178">
        <v>9198</v>
      </c>
      <c r="I191" s="178">
        <v>12690</v>
      </c>
      <c r="J191" s="32">
        <v>183</v>
      </c>
      <c r="K191" s="263">
        <f t="shared" si="9"/>
        <v>33489</v>
      </c>
    </row>
    <row r="192" spans="1:11">
      <c r="A192" s="179" t="s">
        <v>429</v>
      </c>
      <c r="B192" s="179" t="s">
        <v>518</v>
      </c>
      <c r="C192" s="186">
        <v>38692</v>
      </c>
      <c r="D192" s="188">
        <f t="shared" si="8"/>
        <v>2005</v>
      </c>
      <c r="E192" s="183" t="s">
        <v>532</v>
      </c>
      <c r="F192" s="178">
        <v>800</v>
      </c>
      <c r="G192" s="178">
        <v>19152</v>
      </c>
      <c r="H192" s="178">
        <v>8176</v>
      </c>
      <c r="I192" s="178">
        <v>10976</v>
      </c>
      <c r="J192" s="32">
        <v>184</v>
      </c>
      <c r="K192" s="263">
        <f t="shared" si="9"/>
        <v>33856</v>
      </c>
    </row>
    <row r="193" spans="1:11">
      <c r="A193" s="179" t="s">
        <v>528</v>
      </c>
      <c r="B193" s="179" t="s">
        <v>517</v>
      </c>
      <c r="C193" s="186">
        <v>38697</v>
      </c>
      <c r="D193" s="188">
        <f t="shared" si="8"/>
        <v>2005</v>
      </c>
      <c r="E193" s="183" t="s">
        <v>533</v>
      </c>
      <c r="F193" s="178">
        <v>1000</v>
      </c>
      <c r="G193" s="178">
        <v>17410</v>
      </c>
      <c r="H193" s="178">
        <v>8470</v>
      </c>
      <c r="I193" s="178">
        <v>8940</v>
      </c>
      <c r="J193" s="32">
        <v>185</v>
      </c>
      <c r="K193" s="263">
        <f t="shared" si="9"/>
        <v>34225</v>
      </c>
    </row>
    <row r="194" spans="1:11">
      <c r="A194" s="179" t="s">
        <v>528</v>
      </c>
      <c r="B194" s="179" t="s">
        <v>518</v>
      </c>
      <c r="C194" s="186">
        <v>38698</v>
      </c>
      <c r="D194" s="188">
        <f t="shared" si="8"/>
        <v>2005</v>
      </c>
      <c r="E194" s="183" t="s">
        <v>529</v>
      </c>
      <c r="F194" s="178">
        <v>1000</v>
      </c>
      <c r="G194" s="178">
        <v>23090</v>
      </c>
      <c r="H194" s="178">
        <v>10220</v>
      </c>
      <c r="I194" s="178">
        <v>12870</v>
      </c>
      <c r="J194" s="32">
        <v>186</v>
      </c>
      <c r="K194" s="263">
        <f t="shared" si="9"/>
        <v>34596</v>
      </c>
    </row>
    <row r="195" spans="1:11">
      <c r="A195" s="179" t="s">
        <v>423</v>
      </c>
      <c r="B195" s="179" t="s">
        <v>518</v>
      </c>
      <c r="C195" s="186">
        <v>38700</v>
      </c>
      <c r="D195" s="188">
        <f t="shared" si="8"/>
        <v>2005</v>
      </c>
      <c r="E195" s="183" t="s">
        <v>539</v>
      </c>
      <c r="F195" s="178">
        <v>200</v>
      </c>
      <c r="G195" s="178">
        <v>4846</v>
      </c>
      <c r="H195" s="178">
        <v>2044</v>
      </c>
      <c r="I195" s="178">
        <v>2802</v>
      </c>
      <c r="J195" s="32">
        <v>187</v>
      </c>
      <c r="K195" s="263">
        <f t="shared" si="9"/>
        <v>34969</v>
      </c>
    </row>
    <row r="196" spans="1:11">
      <c r="A196" s="179" t="s">
        <v>429</v>
      </c>
      <c r="B196" s="179" t="s">
        <v>518</v>
      </c>
      <c r="C196" s="186">
        <v>38705</v>
      </c>
      <c r="D196" s="188">
        <f t="shared" si="8"/>
        <v>2005</v>
      </c>
      <c r="E196" s="183" t="s">
        <v>529</v>
      </c>
      <c r="F196" s="178">
        <v>100</v>
      </c>
      <c r="G196" s="178">
        <v>2487</v>
      </c>
      <c r="H196" s="178">
        <v>1022</v>
      </c>
      <c r="I196" s="178">
        <v>1465</v>
      </c>
      <c r="J196" s="32">
        <v>188</v>
      </c>
      <c r="K196" s="263">
        <f t="shared" si="9"/>
        <v>35344</v>
      </c>
    </row>
    <row r="197" spans="1:11">
      <c r="A197" s="179" t="s">
        <v>528</v>
      </c>
      <c r="B197" s="179" t="s">
        <v>517</v>
      </c>
      <c r="C197" s="186">
        <v>38707</v>
      </c>
      <c r="D197" s="188">
        <f t="shared" si="8"/>
        <v>2005</v>
      </c>
      <c r="E197" s="183" t="s">
        <v>530</v>
      </c>
      <c r="F197" s="178">
        <v>800</v>
      </c>
      <c r="G197" s="178">
        <v>14136</v>
      </c>
      <c r="H197" s="178">
        <v>6776</v>
      </c>
      <c r="I197" s="178">
        <v>7360</v>
      </c>
      <c r="J197" s="32">
        <v>189</v>
      </c>
      <c r="K197" s="263">
        <f t="shared" si="9"/>
        <v>35721</v>
      </c>
    </row>
    <row r="198" spans="1:11">
      <c r="A198" s="179" t="s">
        <v>423</v>
      </c>
      <c r="B198" s="179" t="s">
        <v>517</v>
      </c>
      <c r="C198" s="186">
        <v>38707</v>
      </c>
      <c r="D198" s="188">
        <f t="shared" si="8"/>
        <v>2005</v>
      </c>
      <c r="E198" s="183" t="s">
        <v>542</v>
      </c>
      <c r="F198" s="178">
        <v>200</v>
      </c>
      <c r="G198" s="178">
        <v>4158</v>
      </c>
      <c r="H198" s="178">
        <v>1694</v>
      </c>
      <c r="I198" s="178">
        <v>2464</v>
      </c>
      <c r="J198" s="32">
        <v>190</v>
      </c>
      <c r="K198" s="263">
        <f t="shared" si="9"/>
        <v>36100</v>
      </c>
    </row>
    <row r="199" spans="1:11">
      <c r="A199" s="179" t="s">
        <v>429</v>
      </c>
      <c r="B199" s="179" t="s">
        <v>516</v>
      </c>
      <c r="C199" s="186">
        <v>38708</v>
      </c>
      <c r="D199" s="188">
        <f t="shared" si="8"/>
        <v>2005</v>
      </c>
      <c r="E199" s="183" t="s">
        <v>548</v>
      </c>
      <c r="F199" s="178">
        <v>700</v>
      </c>
      <c r="G199" s="178">
        <v>14497</v>
      </c>
      <c r="H199" s="178">
        <v>6888</v>
      </c>
      <c r="I199" s="178">
        <v>7609</v>
      </c>
      <c r="J199" s="32">
        <v>191</v>
      </c>
      <c r="K199" s="263">
        <f t="shared" si="9"/>
        <v>36481</v>
      </c>
    </row>
    <row r="200" spans="1:11">
      <c r="A200" s="179" t="s">
        <v>429</v>
      </c>
      <c r="B200" s="179" t="s">
        <v>516</v>
      </c>
      <c r="C200" s="186">
        <v>38712</v>
      </c>
      <c r="D200" s="188">
        <f t="shared" si="8"/>
        <v>2005</v>
      </c>
      <c r="E200" s="183" t="s">
        <v>529</v>
      </c>
      <c r="F200" s="178">
        <v>100</v>
      </c>
      <c r="G200" s="178">
        <v>2457</v>
      </c>
      <c r="H200" s="178">
        <v>984</v>
      </c>
      <c r="I200" s="178">
        <v>1473</v>
      </c>
      <c r="J200" s="32">
        <v>192</v>
      </c>
      <c r="K200" s="263">
        <f t="shared" si="9"/>
        <v>36864</v>
      </c>
    </row>
    <row r="201" spans="1:11">
      <c r="A201" s="179" t="s">
        <v>423</v>
      </c>
      <c r="B201" s="179" t="s">
        <v>517</v>
      </c>
      <c r="C201" s="186">
        <v>38712</v>
      </c>
      <c r="D201" s="188">
        <f t="shared" ref="D201:D264" si="10">YEAR(C201)</f>
        <v>2005</v>
      </c>
      <c r="E201" s="183" t="s">
        <v>529</v>
      </c>
      <c r="F201" s="178">
        <v>300</v>
      </c>
      <c r="G201" s="178">
        <v>5700</v>
      </c>
      <c r="H201" s="178">
        <v>2541</v>
      </c>
      <c r="I201" s="178">
        <v>3159</v>
      </c>
      <c r="J201" s="32">
        <v>193</v>
      </c>
      <c r="K201" s="263">
        <f t="shared" si="9"/>
        <v>37249</v>
      </c>
    </row>
    <row r="202" spans="1:11">
      <c r="A202" s="179" t="s">
        <v>423</v>
      </c>
      <c r="B202" s="179" t="s">
        <v>517</v>
      </c>
      <c r="C202" s="186">
        <v>38712</v>
      </c>
      <c r="D202" s="188">
        <f t="shared" si="10"/>
        <v>2005</v>
      </c>
      <c r="E202" s="183" t="s">
        <v>532</v>
      </c>
      <c r="F202" s="178">
        <v>400</v>
      </c>
      <c r="G202" s="178">
        <v>7376</v>
      </c>
      <c r="H202" s="178">
        <v>3388</v>
      </c>
      <c r="I202" s="178">
        <v>3988</v>
      </c>
      <c r="J202" s="32">
        <v>194</v>
      </c>
      <c r="K202" s="263">
        <f t="shared" ref="K202:K265" si="11">J202*J202</f>
        <v>37636</v>
      </c>
    </row>
    <row r="203" spans="1:11">
      <c r="A203" s="179" t="s">
        <v>423</v>
      </c>
      <c r="B203" s="179" t="s">
        <v>516</v>
      </c>
      <c r="C203" s="186">
        <v>38714</v>
      </c>
      <c r="D203" s="188">
        <f t="shared" si="10"/>
        <v>2005</v>
      </c>
      <c r="E203" s="183" t="s">
        <v>534</v>
      </c>
      <c r="F203" s="178">
        <v>600</v>
      </c>
      <c r="G203" s="178">
        <v>12030</v>
      </c>
      <c r="H203" s="178">
        <v>5904</v>
      </c>
      <c r="I203" s="178">
        <v>6126</v>
      </c>
      <c r="J203" s="32">
        <v>195</v>
      </c>
      <c r="K203" s="263">
        <f t="shared" si="11"/>
        <v>38025</v>
      </c>
    </row>
    <row r="204" spans="1:11">
      <c r="A204" s="179" t="s">
        <v>429</v>
      </c>
      <c r="B204" s="179" t="s">
        <v>516</v>
      </c>
      <c r="C204" s="186">
        <v>38715</v>
      </c>
      <c r="D204" s="188">
        <f t="shared" si="10"/>
        <v>2005</v>
      </c>
      <c r="E204" s="183" t="s">
        <v>546</v>
      </c>
      <c r="F204" s="178">
        <v>100</v>
      </c>
      <c r="G204" s="178">
        <v>2358</v>
      </c>
      <c r="H204" s="178">
        <v>984</v>
      </c>
      <c r="I204" s="178">
        <v>1374</v>
      </c>
      <c r="J204" s="32">
        <v>196</v>
      </c>
      <c r="K204" s="263">
        <f t="shared" si="11"/>
        <v>38416</v>
      </c>
    </row>
    <row r="205" spans="1:11">
      <c r="A205" s="179" t="s">
        <v>429</v>
      </c>
      <c r="B205" s="179" t="s">
        <v>518</v>
      </c>
      <c r="C205" s="186">
        <v>38716</v>
      </c>
      <c r="D205" s="188">
        <f t="shared" si="10"/>
        <v>2005</v>
      </c>
      <c r="E205" s="183" t="s">
        <v>534</v>
      </c>
      <c r="F205" s="178">
        <v>700</v>
      </c>
      <c r="G205" s="178">
        <v>14469</v>
      </c>
      <c r="H205" s="178">
        <v>7154</v>
      </c>
      <c r="I205" s="178">
        <v>7315</v>
      </c>
      <c r="J205" s="32">
        <v>197</v>
      </c>
      <c r="K205" s="263">
        <f t="shared" si="11"/>
        <v>38809</v>
      </c>
    </row>
    <row r="206" spans="1:11">
      <c r="A206" s="179" t="s">
        <v>429</v>
      </c>
      <c r="B206" s="179" t="s">
        <v>517</v>
      </c>
      <c r="C206" s="186">
        <v>38721</v>
      </c>
      <c r="D206" s="188">
        <f t="shared" si="10"/>
        <v>2006</v>
      </c>
      <c r="E206" s="183" t="s">
        <v>531</v>
      </c>
      <c r="F206" s="178">
        <v>300</v>
      </c>
      <c r="G206" s="178">
        <v>5439</v>
      </c>
      <c r="H206" s="178">
        <v>2541</v>
      </c>
      <c r="I206" s="178">
        <v>2898</v>
      </c>
      <c r="J206" s="32">
        <v>198</v>
      </c>
      <c r="K206" s="263">
        <f t="shared" si="11"/>
        <v>39204</v>
      </c>
    </row>
    <row r="207" spans="1:11">
      <c r="A207" s="179" t="s">
        <v>429</v>
      </c>
      <c r="B207" s="179" t="s">
        <v>518</v>
      </c>
      <c r="C207" s="186">
        <v>38721</v>
      </c>
      <c r="D207" s="188">
        <f t="shared" si="10"/>
        <v>2006</v>
      </c>
      <c r="E207" s="183" t="s">
        <v>534</v>
      </c>
      <c r="F207" s="178">
        <v>400</v>
      </c>
      <c r="G207" s="178">
        <v>8560</v>
      </c>
      <c r="H207" s="178">
        <v>4088</v>
      </c>
      <c r="I207" s="178">
        <v>4472</v>
      </c>
      <c r="J207" s="32">
        <v>199</v>
      </c>
      <c r="K207" s="263">
        <f t="shared" si="11"/>
        <v>39601</v>
      </c>
    </row>
    <row r="208" spans="1:11">
      <c r="A208" s="179" t="s">
        <v>528</v>
      </c>
      <c r="B208" s="179" t="s">
        <v>517</v>
      </c>
      <c r="C208" s="186">
        <v>38725</v>
      </c>
      <c r="D208" s="188">
        <f t="shared" si="10"/>
        <v>2006</v>
      </c>
      <c r="E208" s="183" t="s">
        <v>530</v>
      </c>
      <c r="F208" s="178">
        <v>600</v>
      </c>
      <c r="G208" s="178">
        <v>10602</v>
      </c>
      <c r="H208" s="178">
        <v>5082</v>
      </c>
      <c r="I208" s="178">
        <v>5520</v>
      </c>
      <c r="J208" s="32">
        <v>200</v>
      </c>
      <c r="K208" s="263">
        <f t="shared" si="11"/>
        <v>40000</v>
      </c>
    </row>
    <row r="209" spans="1:11">
      <c r="A209" s="179" t="s">
        <v>528</v>
      </c>
      <c r="B209" s="179" t="s">
        <v>518</v>
      </c>
      <c r="C209" s="186">
        <v>38725</v>
      </c>
      <c r="D209" s="188">
        <f t="shared" si="10"/>
        <v>2006</v>
      </c>
      <c r="E209" s="183" t="s">
        <v>530</v>
      </c>
      <c r="F209" s="178">
        <v>300</v>
      </c>
      <c r="G209" s="178">
        <v>6789</v>
      </c>
      <c r="H209" s="178">
        <v>3066</v>
      </c>
      <c r="I209" s="178">
        <v>3723</v>
      </c>
      <c r="J209" s="32">
        <v>201</v>
      </c>
      <c r="K209" s="263">
        <f t="shared" si="11"/>
        <v>40401</v>
      </c>
    </row>
    <row r="210" spans="1:11">
      <c r="A210" s="179" t="s">
        <v>423</v>
      </c>
      <c r="B210" s="179" t="s">
        <v>518</v>
      </c>
      <c r="C210" s="186">
        <v>38729</v>
      </c>
      <c r="D210" s="188">
        <f t="shared" si="10"/>
        <v>2006</v>
      </c>
      <c r="E210" s="183" t="s">
        <v>541</v>
      </c>
      <c r="F210" s="178">
        <v>800</v>
      </c>
      <c r="G210" s="178">
        <v>19544</v>
      </c>
      <c r="H210" s="178">
        <v>8176</v>
      </c>
      <c r="I210" s="178">
        <v>11368</v>
      </c>
      <c r="J210" s="32">
        <v>202</v>
      </c>
      <c r="K210" s="263">
        <f t="shared" si="11"/>
        <v>40804</v>
      </c>
    </row>
    <row r="211" spans="1:11">
      <c r="A211" s="179" t="s">
        <v>423</v>
      </c>
      <c r="B211" s="179" t="s">
        <v>517</v>
      </c>
      <c r="C211" s="186">
        <v>38737</v>
      </c>
      <c r="D211" s="188">
        <f t="shared" si="10"/>
        <v>2006</v>
      </c>
      <c r="E211" s="183" t="s">
        <v>529</v>
      </c>
      <c r="F211" s="178">
        <v>200</v>
      </c>
      <c r="G211" s="178">
        <v>3856</v>
      </c>
      <c r="H211" s="178">
        <v>1694</v>
      </c>
      <c r="I211" s="178">
        <v>2162</v>
      </c>
      <c r="J211" s="32">
        <v>203</v>
      </c>
      <c r="K211" s="263">
        <f t="shared" si="11"/>
        <v>41209</v>
      </c>
    </row>
    <row r="212" spans="1:11">
      <c r="A212" s="179" t="s">
        <v>429</v>
      </c>
      <c r="B212" s="179" t="s">
        <v>518</v>
      </c>
      <c r="C212" s="186">
        <v>38738</v>
      </c>
      <c r="D212" s="188">
        <f t="shared" si="10"/>
        <v>2006</v>
      </c>
      <c r="E212" s="183" t="s">
        <v>523</v>
      </c>
      <c r="F212" s="178">
        <v>400</v>
      </c>
      <c r="G212" s="178">
        <v>8620</v>
      </c>
      <c r="H212" s="178">
        <v>4088</v>
      </c>
      <c r="I212" s="178">
        <v>4532</v>
      </c>
      <c r="J212" s="32">
        <v>204</v>
      </c>
      <c r="K212" s="263">
        <f t="shared" si="11"/>
        <v>41616</v>
      </c>
    </row>
    <row r="213" spans="1:11">
      <c r="A213" s="179" t="s">
        <v>423</v>
      </c>
      <c r="B213" s="179" t="s">
        <v>516</v>
      </c>
      <c r="C213" s="186">
        <v>38739</v>
      </c>
      <c r="D213" s="188">
        <f t="shared" si="10"/>
        <v>2006</v>
      </c>
      <c r="E213" s="183" t="s">
        <v>524</v>
      </c>
      <c r="F213" s="178">
        <v>600</v>
      </c>
      <c r="G213" s="178">
        <v>13866</v>
      </c>
      <c r="H213" s="178">
        <v>5904</v>
      </c>
      <c r="I213" s="178">
        <v>7962</v>
      </c>
      <c r="J213" s="32">
        <v>205</v>
      </c>
      <c r="K213" s="263">
        <f t="shared" si="11"/>
        <v>42025</v>
      </c>
    </row>
    <row r="214" spans="1:11">
      <c r="A214" s="179" t="s">
        <v>423</v>
      </c>
      <c r="B214" s="179" t="s">
        <v>516</v>
      </c>
      <c r="C214" s="186">
        <v>38739</v>
      </c>
      <c r="D214" s="188">
        <f t="shared" si="10"/>
        <v>2006</v>
      </c>
      <c r="E214" s="183" t="s">
        <v>524</v>
      </c>
      <c r="F214" s="178">
        <v>200</v>
      </c>
      <c r="G214" s="178">
        <v>4378</v>
      </c>
      <c r="H214" s="178">
        <v>1968</v>
      </c>
      <c r="I214" s="178">
        <v>2410</v>
      </c>
      <c r="J214" s="32">
        <v>206</v>
      </c>
      <c r="K214" s="263">
        <f t="shared" si="11"/>
        <v>42436</v>
      </c>
    </row>
    <row r="215" spans="1:11">
      <c r="A215" s="179" t="s">
        <v>429</v>
      </c>
      <c r="B215" s="179" t="s">
        <v>518</v>
      </c>
      <c r="C215" s="186">
        <v>38742</v>
      </c>
      <c r="D215" s="188">
        <f t="shared" si="10"/>
        <v>2006</v>
      </c>
      <c r="E215" s="183" t="s">
        <v>530</v>
      </c>
      <c r="F215" s="178">
        <v>800</v>
      </c>
      <c r="G215" s="178">
        <v>20008</v>
      </c>
      <c r="H215" s="178">
        <v>8176</v>
      </c>
      <c r="I215" s="178">
        <v>11832</v>
      </c>
      <c r="J215" s="32">
        <v>207</v>
      </c>
      <c r="K215" s="263">
        <f t="shared" si="11"/>
        <v>42849</v>
      </c>
    </row>
    <row r="216" spans="1:11">
      <c r="A216" s="179" t="s">
        <v>429</v>
      </c>
      <c r="B216" s="179" t="s">
        <v>516</v>
      </c>
      <c r="C216" s="186">
        <v>38743</v>
      </c>
      <c r="D216" s="188">
        <f t="shared" si="10"/>
        <v>2006</v>
      </c>
      <c r="E216" s="183" t="s">
        <v>529</v>
      </c>
      <c r="F216" s="178">
        <v>200</v>
      </c>
      <c r="G216" s="178">
        <v>4526</v>
      </c>
      <c r="H216" s="178">
        <v>1968</v>
      </c>
      <c r="I216" s="178">
        <v>2558</v>
      </c>
      <c r="J216" s="32">
        <v>208</v>
      </c>
      <c r="K216" s="263">
        <f t="shared" si="11"/>
        <v>43264</v>
      </c>
    </row>
    <row r="217" spans="1:11">
      <c r="A217" s="179" t="s">
        <v>528</v>
      </c>
      <c r="B217" s="179" t="s">
        <v>518</v>
      </c>
      <c r="C217" s="186">
        <v>38745</v>
      </c>
      <c r="D217" s="188">
        <f t="shared" si="10"/>
        <v>2006</v>
      </c>
      <c r="E217" s="183" t="s">
        <v>531</v>
      </c>
      <c r="F217" s="178">
        <v>900</v>
      </c>
      <c r="G217" s="178">
        <v>21762</v>
      </c>
      <c r="H217" s="178">
        <v>9198</v>
      </c>
      <c r="I217" s="178">
        <v>12564</v>
      </c>
      <c r="J217" s="32">
        <v>209</v>
      </c>
      <c r="K217" s="263">
        <f t="shared" si="11"/>
        <v>43681</v>
      </c>
    </row>
    <row r="218" spans="1:11">
      <c r="A218" s="179" t="s">
        <v>429</v>
      </c>
      <c r="B218" s="179" t="s">
        <v>516</v>
      </c>
      <c r="C218" s="186">
        <v>38746</v>
      </c>
      <c r="D218" s="188">
        <f t="shared" si="10"/>
        <v>2006</v>
      </c>
      <c r="E218" s="183" t="s">
        <v>532</v>
      </c>
      <c r="F218" s="178">
        <v>800</v>
      </c>
      <c r="G218" s="178">
        <v>19280</v>
      </c>
      <c r="H218" s="178">
        <v>7872</v>
      </c>
      <c r="I218" s="178">
        <v>11408</v>
      </c>
      <c r="J218" s="32">
        <v>210</v>
      </c>
      <c r="K218" s="263">
        <f t="shared" si="11"/>
        <v>44100</v>
      </c>
    </row>
    <row r="219" spans="1:11">
      <c r="A219" s="179" t="s">
        <v>528</v>
      </c>
      <c r="B219" s="179" t="s">
        <v>516</v>
      </c>
      <c r="C219" s="186">
        <v>38748</v>
      </c>
      <c r="D219" s="188">
        <f t="shared" si="10"/>
        <v>2006</v>
      </c>
      <c r="E219" s="183" t="s">
        <v>534</v>
      </c>
      <c r="F219" s="178">
        <v>500</v>
      </c>
      <c r="G219" s="178">
        <v>11545</v>
      </c>
      <c r="H219" s="178">
        <v>4920</v>
      </c>
      <c r="I219" s="178">
        <v>6625</v>
      </c>
      <c r="J219" s="32">
        <v>211</v>
      </c>
      <c r="K219" s="263">
        <f t="shared" si="11"/>
        <v>44521</v>
      </c>
    </row>
    <row r="220" spans="1:11">
      <c r="A220" s="179" t="s">
        <v>423</v>
      </c>
      <c r="B220" s="179" t="s">
        <v>518</v>
      </c>
      <c r="C220" s="186">
        <v>38750</v>
      </c>
      <c r="D220" s="188">
        <f t="shared" si="10"/>
        <v>2006</v>
      </c>
      <c r="E220" s="183" t="s">
        <v>537</v>
      </c>
      <c r="F220" s="178">
        <v>400</v>
      </c>
      <c r="G220" s="178">
        <v>9240</v>
      </c>
      <c r="H220" s="178">
        <v>4088</v>
      </c>
      <c r="I220" s="178">
        <v>5152</v>
      </c>
      <c r="J220" s="32">
        <v>212</v>
      </c>
      <c r="K220" s="263">
        <f t="shared" si="11"/>
        <v>44944</v>
      </c>
    </row>
    <row r="221" spans="1:11">
      <c r="A221" s="179" t="s">
        <v>528</v>
      </c>
      <c r="B221" s="179" t="s">
        <v>518</v>
      </c>
      <c r="C221" s="186">
        <v>38751</v>
      </c>
      <c r="D221" s="188">
        <f t="shared" si="10"/>
        <v>2006</v>
      </c>
      <c r="E221" s="183" t="s">
        <v>531</v>
      </c>
      <c r="F221" s="178">
        <v>100</v>
      </c>
      <c r="G221" s="178">
        <v>2149</v>
      </c>
      <c r="H221" s="178">
        <v>1022</v>
      </c>
      <c r="I221" s="178">
        <v>1127</v>
      </c>
      <c r="J221" s="32">
        <v>213</v>
      </c>
      <c r="K221" s="263">
        <f t="shared" si="11"/>
        <v>45369</v>
      </c>
    </row>
    <row r="222" spans="1:11">
      <c r="A222" s="179" t="s">
        <v>429</v>
      </c>
      <c r="B222" s="179" t="s">
        <v>516</v>
      </c>
      <c r="C222" s="186">
        <v>38751</v>
      </c>
      <c r="D222" s="188">
        <f t="shared" si="10"/>
        <v>2006</v>
      </c>
      <c r="E222" s="183" t="s">
        <v>531</v>
      </c>
      <c r="F222" s="178">
        <v>500</v>
      </c>
      <c r="G222" s="178">
        <v>12095</v>
      </c>
      <c r="H222" s="178">
        <v>4920</v>
      </c>
      <c r="I222" s="178">
        <v>7175</v>
      </c>
      <c r="J222" s="32">
        <v>214</v>
      </c>
      <c r="K222" s="263">
        <f t="shared" si="11"/>
        <v>45796</v>
      </c>
    </row>
    <row r="223" spans="1:11">
      <c r="A223" s="179" t="s">
        <v>528</v>
      </c>
      <c r="B223" s="179" t="s">
        <v>517</v>
      </c>
      <c r="C223" s="186">
        <v>38751</v>
      </c>
      <c r="D223" s="188">
        <f t="shared" si="10"/>
        <v>2006</v>
      </c>
      <c r="E223" s="183" t="s">
        <v>529</v>
      </c>
      <c r="F223" s="178">
        <v>900</v>
      </c>
      <c r="G223" s="178">
        <v>16209</v>
      </c>
      <c r="H223" s="178">
        <v>7623</v>
      </c>
      <c r="I223" s="178">
        <v>8586</v>
      </c>
      <c r="J223" s="32">
        <v>215</v>
      </c>
      <c r="K223" s="263">
        <f t="shared" si="11"/>
        <v>46225</v>
      </c>
    </row>
    <row r="224" spans="1:11">
      <c r="A224" s="179" t="s">
        <v>423</v>
      </c>
      <c r="B224" s="179" t="s">
        <v>518</v>
      </c>
      <c r="C224" s="186">
        <v>38751</v>
      </c>
      <c r="D224" s="188">
        <f t="shared" si="10"/>
        <v>2006</v>
      </c>
      <c r="E224" s="183" t="s">
        <v>546</v>
      </c>
      <c r="F224" s="178">
        <v>800</v>
      </c>
      <c r="G224" s="178">
        <v>17856</v>
      </c>
      <c r="H224" s="178">
        <v>8176</v>
      </c>
      <c r="I224" s="178">
        <v>9680</v>
      </c>
      <c r="J224" s="32">
        <v>216</v>
      </c>
      <c r="K224" s="263">
        <f t="shared" si="11"/>
        <v>46656</v>
      </c>
    </row>
    <row r="225" spans="1:11">
      <c r="A225" s="179" t="s">
        <v>528</v>
      </c>
      <c r="B225" s="179" t="s">
        <v>518</v>
      </c>
      <c r="C225" s="186">
        <v>38753</v>
      </c>
      <c r="D225" s="188">
        <f t="shared" si="10"/>
        <v>2006</v>
      </c>
      <c r="E225" s="183" t="s">
        <v>533</v>
      </c>
      <c r="F225" s="178">
        <v>900</v>
      </c>
      <c r="G225" s="178">
        <v>19584</v>
      </c>
      <c r="H225" s="178">
        <v>9198</v>
      </c>
      <c r="I225" s="178">
        <v>10386</v>
      </c>
      <c r="J225" s="32">
        <v>217</v>
      </c>
      <c r="K225" s="263">
        <f t="shared" si="11"/>
        <v>47089</v>
      </c>
    </row>
    <row r="226" spans="1:11">
      <c r="A226" s="179" t="s">
        <v>423</v>
      </c>
      <c r="B226" s="179" t="s">
        <v>516</v>
      </c>
      <c r="C226" s="186">
        <v>38757</v>
      </c>
      <c r="D226" s="188">
        <f t="shared" si="10"/>
        <v>2006</v>
      </c>
      <c r="E226" s="183" t="s">
        <v>533</v>
      </c>
      <c r="F226" s="178">
        <v>600</v>
      </c>
      <c r="G226" s="178">
        <v>13728</v>
      </c>
      <c r="H226" s="178">
        <v>5904</v>
      </c>
      <c r="I226" s="178">
        <v>7824</v>
      </c>
      <c r="J226" s="32">
        <v>218</v>
      </c>
      <c r="K226" s="263">
        <f t="shared" si="11"/>
        <v>47524</v>
      </c>
    </row>
    <row r="227" spans="1:11">
      <c r="A227" s="179" t="s">
        <v>429</v>
      </c>
      <c r="B227" s="179" t="s">
        <v>517</v>
      </c>
      <c r="C227" s="186">
        <v>38759</v>
      </c>
      <c r="D227" s="188">
        <f t="shared" si="10"/>
        <v>2006</v>
      </c>
      <c r="E227" s="183" t="s">
        <v>534</v>
      </c>
      <c r="F227" s="178">
        <v>100</v>
      </c>
      <c r="G227" s="178">
        <v>2028</v>
      </c>
      <c r="H227" s="178">
        <v>847</v>
      </c>
      <c r="I227" s="178">
        <v>1181</v>
      </c>
      <c r="J227" s="32">
        <v>219</v>
      </c>
      <c r="K227" s="263">
        <f t="shared" si="11"/>
        <v>47961</v>
      </c>
    </row>
    <row r="228" spans="1:11">
      <c r="A228" s="179" t="s">
        <v>528</v>
      </c>
      <c r="B228" s="179" t="s">
        <v>516</v>
      </c>
      <c r="C228" s="186">
        <v>38760</v>
      </c>
      <c r="D228" s="188">
        <f t="shared" si="10"/>
        <v>2006</v>
      </c>
      <c r="E228" s="183" t="s">
        <v>526</v>
      </c>
      <c r="F228" s="178">
        <v>1000</v>
      </c>
      <c r="G228" s="178">
        <v>20950</v>
      </c>
      <c r="H228" s="178">
        <v>9840</v>
      </c>
      <c r="I228" s="178">
        <v>11110</v>
      </c>
      <c r="J228" s="32">
        <v>220</v>
      </c>
      <c r="K228" s="263">
        <f t="shared" si="11"/>
        <v>48400</v>
      </c>
    </row>
    <row r="229" spans="1:11">
      <c r="A229" s="179" t="s">
        <v>528</v>
      </c>
      <c r="B229" s="179" t="s">
        <v>518</v>
      </c>
      <c r="C229" s="186">
        <v>38761</v>
      </c>
      <c r="D229" s="188">
        <f t="shared" si="10"/>
        <v>2006</v>
      </c>
      <c r="E229" s="183" t="s">
        <v>533</v>
      </c>
      <c r="F229" s="178">
        <v>1000</v>
      </c>
      <c r="G229" s="178">
        <v>22530</v>
      </c>
      <c r="H229" s="178">
        <v>10220</v>
      </c>
      <c r="I229" s="178">
        <v>12310</v>
      </c>
      <c r="J229" s="32">
        <v>221</v>
      </c>
      <c r="K229" s="263">
        <f t="shared" si="11"/>
        <v>48841</v>
      </c>
    </row>
    <row r="230" spans="1:11">
      <c r="A230" s="179" t="s">
        <v>429</v>
      </c>
      <c r="B230" s="179" t="s">
        <v>517</v>
      </c>
      <c r="C230" s="186">
        <v>38767</v>
      </c>
      <c r="D230" s="188">
        <f t="shared" si="10"/>
        <v>2006</v>
      </c>
      <c r="E230" s="183" t="s">
        <v>549</v>
      </c>
      <c r="F230" s="178">
        <v>400</v>
      </c>
      <c r="G230" s="178">
        <v>8116</v>
      </c>
      <c r="H230" s="178">
        <v>3388</v>
      </c>
      <c r="I230" s="178">
        <v>4728</v>
      </c>
      <c r="J230" s="32">
        <v>222</v>
      </c>
      <c r="K230" s="263">
        <f t="shared" si="11"/>
        <v>49284</v>
      </c>
    </row>
    <row r="231" spans="1:11">
      <c r="A231" s="179" t="s">
        <v>423</v>
      </c>
      <c r="B231" s="179" t="s">
        <v>517</v>
      </c>
      <c r="C231" s="186">
        <v>38767</v>
      </c>
      <c r="D231" s="188">
        <f t="shared" si="10"/>
        <v>2006</v>
      </c>
      <c r="E231" s="183" t="s">
        <v>533</v>
      </c>
      <c r="F231" s="178">
        <v>600</v>
      </c>
      <c r="G231" s="178">
        <v>12684</v>
      </c>
      <c r="H231" s="178">
        <v>5082</v>
      </c>
      <c r="I231" s="178">
        <v>7602</v>
      </c>
      <c r="J231" s="32">
        <v>223</v>
      </c>
      <c r="K231" s="263">
        <f t="shared" si="11"/>
        <v>49729</v>
      </c>
    </row>
    <row r="232" spans="1:11">
      <c r="A232" s="179" t="s">
        <v>528</v>
      </c>
      <c r="B232" s="179" t="s">
        <v>517</v>
      </c>
      <c r="C232" s="186">
        <v>38768</v>
      </c>
      <c r="D232" s="188">
        <f t="shared" si="10"/>
        <v>2006</v>
      </c>
      <c r="E232" s="183" t="s">
        <v>530</v>
      </c>
      <c r="F232" s="178">
        <v>900</v>
      </c>
      <c r="G232" s="178">
        <v>17505</v>
      </c>
      <c r="H232" s="178">
        <v>7623</v>
      </c>
      <c r="I232" s="178">
        <v>9882</v>
      </c>
      <c r="J232" s="32">
        <v>224</v>
      </c>
      <c r="K232" s="263">
        <f t="shared" si="11"/>
        <v>50176</v>
      </c>
    </row>
    <row r="233" spans="1:11">
      <c r="A233" s="179" t="s">
        <v>528</v>
      </c>
      <c r="B233" s="179" t="s">
        <v>517</v>
      </c>
      <c r="C233" s="186">
        <v>38770</v>
      </c>
      <c r="D233" s="188">
        <f t="shared" si="10"/>
        <v>2006</v>
      </c>
      <c r="E233" s="183" t="s">
        <v>531</v>
      </c>
      <c r="F233" s="178">
        <v>1000</v>
      </c>
      <c r="G233" s="178">
        <v>21120</v>
      </c>
      <c r="H233" s="178">
        <v>8470</v>
      </c>
      <c r="I233" s="178">
        <v>12650</v>
      </c>
      <c r="J233" s="32">
        <v>225</v>
      </c>
      <c r="K233" s="263">
        <f t="shared" si="11"/>
        <v>50625</v>
      </c>
    </row>
    <row r="234" spans="1:11">
      <c r="A234" s="179" t="s">
        <v>423</v>
      </c>
      <c r="B234" s="179" t="s">
        <v>516</v>
      </c>
      <c r="C234" s="186">
        <v>38773</v>
      </c>
      <c r="D234" s="188">
        <f t="shared" si="10"/>
        <v>2006</v>
      </c>
      <c r="E234" s="183" t="s">
        <v>531</v>
      </c>
      <c r="F234" s="178">
        <v>300</v>
      </c>
      <c r="G234" s="178">
        <v>6735</v>
      </c>
      <c r="H234" s="178">
        <v>2952</v>
      </c>
      <c r="I234" s="178">
        <v>3783</v>
      </c>
      <c r="J234" s="32">
        <v>226</v>
      </c>
      <c r="K234" s="263">
        <f t="shared" si="11"/>
        <v>51076</v>
      </c>
    </row>
    <row r="235" spans="1:11">
      <c r="A235" s="179" t="s">
        <v>528</v>
      </c>
      <c r="B235" s="179" t="s">
        <v>518</v>
      </c>
      <c r="C235" s="186">
        <v>38774</v>
      </c>
      <c r="D235" s="188">
        <f t="shared" si="10"/>
        <v>2006</v>
      </c>
      <c r="E235" s="183" t="s">
        <v>523</v>
      </c>
      <c r="F235" s="178">
        <v>400</v>
      </c>
      <c r="G235" s="178">
        <v>9204</v>
      </c>
      <c r="H235" s="178">
        <v>4088</v>
      </c>
      <c r="I235" s="178">
        <v>5116</v>
      </c>
      <c r="J235" s="32">
        <v>227</v>
      </c>
      <c r="K235" s="263">
        <f t="shared" si="11"/>
        <v>51529</v>
      </c>
    </row>
    <row r="236" spans="1:11">
      <c r="A236" s="179" t="s">
        <v>528</v>
      </c>
      <c r="B236" s="179" t="s">
        <v>516</v>
      </c>
      <c r="C236" s="186">
        <v>38777</v>
      </c>
      <c r="D236" s="188">
        <f t="shared" si="10"/>
        <v>2006</v>
      </c>
      <c r="E236" s="183" t="s">
        <v>533</v>
      </c>
      <c r="F236" s="178">
        <v>500</v>
      </c>
      <c r="G236" s="178">
        <v>12270</v>
      </c>
      <c r="H236" s="178">
        <v>4920</v>
      </c>
      <c r="I236" s="178">
        <v>7350</v>
      </c>
      <c r="J236" s="32">
        <v>228</v>
      </c>
      <c r="K236" s="263">
        <f t="shared" si="11"/>
        <v>51984</v>
      </c>
    </row>
    <row r="237" spans="1:11">
      <c r="A237" s="179" t="s">
        <v>528</v>
      </c>
      <c r="B237" s="179" t="s">
        <v>518</v>
      </c>
      <c r="C237" s="186">
        <v>38781</v>
      </c>
      <c r="D237" s="188">
        <f t="shared" si="10"/>
        <v>2006</v>
      </c>
      <c r="E237" s="183" t="s">
        <v>525</v>
      </c>
      <c r="F237" s="178">
        <v>200</v>
      </c>
      <c r="G237" s="178">
        <v>4440</v>
      </c>
      <c r="H237" s="178">
        <v>2044</v>
      </c>
      <c r="I237" s="178">
        <v>2396</v>
      </c>
      <c r="J237" s="32">
        <v>229</v>
      </c>
      <c r="K237" s="263">
        <f t="shared" si="11"/>
        <v>52441</v>
      </c>
    </row>
    <row r="238" spans="1:11">
      <c r="A238" s="179" t="s">
        <v>423</v>
      </c>
      <c r="B238" s="179" t="s">
        <v>516</v>
      </c>
      <c r="C238" s="186">
        <v>38784</v>
      </c>
      <c r="D238" s="188">
        <f t="shared" si="10"/>
        <v>2006</v>
      </c>
      <c r="E238" s="183" t="s">
        <v>533</v>
      </c>
      <c r="F238" s="178">
        <v>1000</v>
      </c>
      <c r="G238" s="178">
        <v>23690</v>
      </c>
      <c r="H238" s="178">
        <v>9840</v>
      </c>
      <c r="I238" s="178">
        <v>13850</v>
      </c>
      <c r="J238" s="32">
        <v>230</v>
      </c>
      <c r="K238" s="263">
        <f t="shared" si="11"/>
        <v>52900</v>
      </c>
    </row>
    <row r="239" spans="1:11">
      <c r="A239" s="179" t="s">
        <v>528</v>
      </c>
      <c r="B239" s="179" t="s">
        <v>517</v>
      </c>
      <c r="C239" s="186">
        <v>38787</v>
      </c>
      <c r="D239" s="188">
        <f t="shared" si="10"/>
        <v>2006</v>
      </c>
      <c r="E239" s="183" t="s">
        <v>532</v>
      </c>
      <c r="F239" s="178">
        <v>800</v>
      </c>
      <c r="G239" s="178">
        <v>16696</v>
      </c>
      <c r="H239" s="178">
        <v>6776</v>
      </c>
      <c r="I239" s="178">
        <v>9920</v>
      </c>
      <c r="J239" s="32">
        <v>231</v>
      </c>
      <c r="K239" s="263">
        <f t="shared" si="11"/>
        <v>53361</v>
      </c>
    </row>
    <row r="240" spans="1:11">
      <c r="A240" s="179" t="s">
        <v>528</v>
      </c>
      <c r="B240" s="179" t="s">
        <v>516</v>
      </c>
      <c r="C240" s="186">
        <v>38792</v>
      </c>
      <c r="D240" s="188">
        <f t="shared" si="10"/>
        <v>2006</v>
      </c>
      <c r="E240" s="183" t="s">
        <v>533</v>
      </c>
      <c r="F240" s="178">
        <v>100</v>
      </c>
      <c r="G240" s="178">
        <v>2004</v>
      </c>
      <c r="H240" s="178">
        <v>984</v>
      </c>
      <c r="I240" s="178">
        <v>1020</v>
      </c>
      <c r="J240" s="32">
        <v>232</v>
      </c>
      <c r="K240" s="263">
        <f t="shared" si="11"/>
        <v>53824</v>
      </c>
    </row>
    <row r="241" spans="1:11">
      <c r="A241" s="179" t="s">
        <v>429</v>
      </c>
      <c r="B241" s="179" t="s">
        <v>517</v>
      </c>
      <c r="C241" s="186">
        <v>38794</v>
      </c>
      <c r="D241" s="188">
        <f t="shared" si="10"/>
        <v>2006</v>
      </c>
      <c r="E241" s="183" t="s">
        <v>531</v>
      </c>
      <c r="F241" s="178">
        <v>300</v>
      </c>
      <c r="G241" s="178">
        <v>5904</v>
      </c>
      <c r="H241" s="178">
        <v>2541</v>
      </c>
      <c r="I241" s="178">
        <v>3363</v>
      </c>
      <c r="J241" s="32">
        <v>233</v>
      </c>
      <c r="K241" s="263">
        <f t="shared" si="11"/>
        <v>54289</v>
      </c>
    </row>
    <row r="242" spans="1:11">
      <c r="A242" s="179" t="s">
        <v>423</v>
      </c>
      <c r="B242" s="179" t="s">
        <v>517</v>
      </c>
      <c r="C242" s="186">
        <v>38795</v>
      </c>
      <c r="D242" s="188">
        <f t="shared" si="10"/>
        <v>2006</v>
      </c>
      <c r="E242" s="183" t="s">
        <v>549</v>
      </c>
      <c r="F242" s="178">
        <v>1000</v>
      </c>
      <c r="G242" s="178">
        <v>18290</v>
      </c>
      <c r="H242" s="178">
        <v>8470</v>
      </c>
      <c r="I242" s="178">
        <v>9820</v>
      </c>
      <c r="J242" s="32">
        <v>234</v>
      </c>
      <c r="K242" s="263">
        <f t="shared" si="11"/>
        <v>54756</v>
      </c>
    </row>
    <row r="243" spans="1:11">
      <c r="A243" s="179" t="s">
        <v>429</v>
      </c>
      <c r="B243" s="179" t="s">
        <v>518</v>
      </c>
      <c r="C243" s="186">
        <v>38798</v>
      </c>
      <c r="D243" s="188">
        <f t="shared" si="10"/>
        <v>2006</v>
      </c>
      <c r="E243" s="183" t="s">
        <v>537</v>
      </c>
      <c r="F243" s="178">
        <v>1000</v>
      </c>
      <c r="G243" s="178">
        <v>25350</v>
      </c>
      <c r="H243" s="178">
        <v>10220</v>
      </c>
      <c r="I243" s="178">
        <v>15130</v>
      </c>
      <c r="J243" s="32">
        <v>235</v>
      </c>
      <c r="K243" s="263">
        <f t="shared" si="11"/>
        <v>55225</v>
      </c>
    </row>
    <row r="244" spans="1:11">
      <c r="A244" s="179" t="s">
        <v>423</v>
      </c>
      <c r="B244" s="179" t="s">
        <v>518</v>
      </c>
      <c r="C244" s="186">
        <v>38802</v>
      </c>
      <c r="D244" s="188">
        <f t="shared" si="10"/>
        <v>2006</v>
      </c>
      <c r="E244" s="183" t="s">
        <v>523</v>
      </c>
      <c r="F244" s="178">
        <v>300</v>
      </c>
      <c r="G244" s="178">
        <v>7569</v>
      </c>
      <c r="H244" s="178">
        <v>3066</v>
      </c>
      <c r="I244" s="178">
        <v>4503</v>
      </c>
      <c r="J244" s="32">
        <v>236</v>
      </c>
      <c r="K244" s="263">
        <f t="shared" si="11"/>
        <v>55696</v>
      </c>
    </row>
    <row r="245" spans="1:11">
      <c r="A245" s="179" t="s">
        <v>429</v>
      </c>
      <c r="B245" s="179" t="s">
        <v>518</v>
      </c>
      <c r="C245" s="186">
        <v>38804</v>
      </c>
      <c r="D245" s="188">
        <f t="shared" si="10"/>
        <v>2006</v>
      </c>
      <c r="E245" s="183" t="s">
        <v>529</v>
      </c>
      <c r="F245" s="178">
        <v>500</v>
      </c>
      <c r="G245" s="178">
        <v>10380</v>
      </c>
      <c r="H245" s="178">
        <v>5110</v>
      </c>
      <c r="I245" s="178">
        <v>5270</v>
      </c>
      <c r="J245" s="32">
        <v>237</v>
      </c>
      <c r="K245" s="263">
        <f t="shared" si="11"/>
        <v>56169</v>
      </c>
    </row>
    <row r="246" spans="1:11">
      <c r="A246" s="179" t="s">
        <v>429</v>
      </c>
      <c r="B246" s="179" t="s">
        <v>516</v>
      </c>
      <c r="C246" s="186">
        <v>38805</v>
      </c>
      <c r="D246" s="188">
        <f t="shared" si="10"/>
        <v>2006</v>
      </c>
      <c r="E246" s="183" t="s">
        <v>523</v>
      </c>
      <c r="F246" s="178">
        <v>700</v>
      </c>
      <c r="G246" s="178">
        <v>13797</v>
      </c>
      <c r="H246" s="178">
        <v>6888</v>
      </c>
      <c r="I246" s="178">
        <v>6909</v>
      </c>
      <c r="J246" s="32">
        <v>238</v>
      </c>
      <c r="K246" s="263">
        <f t="shared" si="11"/>
        <v>56644</v>
      </c>
    </row>
    <row r="247" spans="1:11">
      <c r="A247" s="179" t="s">
        <v>423</v>
      </c>
      <c r="B247" s="179" t="s">
        <v>518</v>
      </c>
      <c r="C247" s="186">
        <v>38807</v>
      </c>
      <c r="D247" s="188">
        <f t="shared" si="10"/>
        <v>2006</v>
      </c>
      <c r="E247" s="183" t="s">
        <v>534</v>
      </c>
      <c r="F247" s="178">
        <v>300</v>
      </c>
      <c r="G247" s="178">
        <v>7305</v>
      </c>
      <c r="H247" s="178">
        <v>3066</v>
      </c>
      <c r="I247" s="178">
        <v>4239</v>
      </c>
      <c r="J247" s="32">
        <v>239</v>
      </c>
      <c r="K247" s="263">
        <f t="shared" si="11"/>
        <v>57121</v>
      </c>
    </row>
    <row r="248" spans="1:11">
      <c r="A248" s="179" t="s">
        <v>429</v>
      </c>
      <c r="B248" s="179" t="s">
        <v>517</v>
      </c>
      <c r="C248" s="186">
        <v>38808</v>
      </c>
      <c r="D248" s="188">
        <f t="shared" si="10"/>
        <v>2006</v>
      </c>
      <c r="E248" s="183" t="s">
        <v>526</v>
      </c>
      <c r="F248" s="178">
        <v>500</v>
      </c>
      <c r="G248" s="178">
        <v>9635</v>
      </c>
      <c r="H248" s="178">
        <v>4235</v>
      </c>
      <c r="I248" s="178">
        <v>5400</v>
      </c>
      <c r="J248" s="32">
        <v>240</v>
      </c>
      <c r="K248" s="263">
        <f t="shared" si="11"/>
        <v>57600</v>
      </c>
    </row>
    <row r="249" spans="1:11">
      <c r="A249" s="179" t="s">
        <v>423</v>
      </c>
      <c r="B249" s="179" t="s">
        <v>518</v>
      </c>
      <c r="C249" s="186">
        <v>38810</v>
      </c>
      <c r="D249" s="188">
        <f t="shared" si="10"/>
        <v>2006</v>
      </c>
      <c r="E249" s="183" t="s">
        <v>529</v>
      </c>
      <c r="F249" s="178">
        <v>500</v>
      </c>
      <c r="G249" s="178">
        <v>12755</v>
      </c>
      <c r="H249" s="178">
        <v>5110</v>
      </c>
      <c r="I249" s="178">
        <v>7645</v>
      </c>
      <c r="J249" s="32">
        <v>241</v>
      </c>
      <c r="K249" s="263">
        <f t="shared" si="11"/>
        <v>58081</v>
      </c>
    </row>
    <row r="250" spans="1:11">
      <c r="A250" s="179" t="s">
        <v>423</v>
      </c>
      <c r="B250" s="179" t="s">
        <v>517</v>
      </c>
      <c r="C250" s="186">
        <v>38810</v>
      </c>
      <c r="D250" s="188">
        <f t="shared" si="10"/>
        <v>2006</v>
      </c>
      <c r="E250" s="183" t="s">
        <v>533</v>
      </c>
      <c r="F250" s="178">
        <v>500</v>
      </c>
      <c r="G250" s="178">
        <v>9855</v>
      </c>
      <c r="H250" s="178">
        <v>4235</v>
      </c>
      <c r="I250" s="178">
        <v>5620</v>
      </c>
      <c r="J250" s="32">
        <v>242</v>
      </c>
      <c r="K250" s="263">
        <f t="shared" si="11"/>
        <v>58564</v>
      </c>
    </row>
    <row r="251" spans="1:11">
      <c r="A251" s="179" t="s">
        <v>423</v>
      </c>
      <c r="B251" s="179" t="s">
        <v>517</v>
      </c>
      <c r="C251" s="186">
        <v>38814</v>
      </c>
      <c r="D251" s="188">
        <f t="shared" si="10"/>
        <v>2006</v>
      </c>
      <c r="E251" s="183" t="s">
        <v>532</v>
      </c>
      <c r="F251" s="178">
        <v>400</v>
      </c>
      <c r="G251" s="178">
        <v>6880</v>
      </c>
      <c r="H251" s="178">
        <v>3388</v>
      </c>
      <c r="I251" s="178">
        <v>3492</v>
      </c>
      <c r="J251" s="32">
        <v>243</v>
      </c>
      <c r="K251" s="263">
        <f t="shared" si="11"/>
        <v>59049</v>
      </c>
    </row>
    <row r="252" spans="1:11">
      <c r="A252" s="179" t="s">
        <v>528</v>
      </c>
      <c r="B252" s="179" t="s">
        <v>518</v>
      </c>
      <c r="C252" s="186">
        <v>38815</v>
      </c>
      <c r="D252" s="188">
        <f t="shared" si="10"/>
        <v>2006</v>
      </c>
      <c r="E252" s="183" t="s">
        <v>530</v>
      </c>
      <c r="F252" s="178">
        <v>900</v>
      </c>
      <c r="G252" s="178">
        <v>18783</v>
      </c>
      <c r="H252" s="178">
        <v>9198</v>
      </c>
      <c r="I252" s="178">
        <v>9585</v>
      </c>
      <c r="J252" s="32">
        <v>244</v>
      </c>
      <c r="K252" s="263">
        <f t="shared" si="11"/>
        <v>59536</v>
      </c>
    </row>
    <row r="253" spans="1:11">
      <c r="A253" s="179" t="s">
        <v>528</v>
      </c>
      <c r="B253" s="179" t="s">
        <v>518</v>
      </c>
      <c r="C253" s="186">
        <v>38815</v>
      </c>
      <c r="D253" s="188">
        <f t="shared" si="10"/>
        <v>2006</v>
      </c>
      <c r="E253" s="183" t="s">
        <v>529</v>
      </c>
      <c r="F253" s="178">
        <v>200</v>
      </c>
      <c r="G253" s="178">
        <v>4550</v>
      </c>
      <c r="H253" s="178">
        <v>2044</v>
      </c>
      <c r="I253" s="178">
        <v>2506</v>
      </c>
      <c r="J253" s="32">
        <v>245</v>
      </c>
      <c r="K253" s="263">
        <f t="shared" si="11"/>
        <v>60025</v>
      </c>
    </row>
    <row r="254" spans="1:11">
      <c r="A254" s="179" t="s">
        <v>429</v>
      </c>
      <c r="B254" s="179" t="s">
        <v>516</v>
      </c>
      <c r="C254" s="186">
        <v>38816</v>
      </c>
      <c r="D254" s="188">
        <f t="shared" si="10"/>
        <v>2006</v>
      </c>
      <c r="E254" s="183" t="s">
        <v>534</v>
      </c>
      <c r="F254" s="178">
        <v>500</v>
      </c>
      <c r="G254" s="178">
        <v>11695</v>
      </c>
      <c r="H254" s="178">
        <v>4920</v>
      </c>
      <c r="I254" s="178">
        <v>6775</v>
      </c>
      <c r="J254" s="32">
        <v>246</v>
      </c>
      <c r="K254" s="263">
        <f t="shared" si="11"/>
        <v>60516</v>
      </c>
    </row>
    <row r="255" spans="1:11">
      <c r="A255" s="179" t="s">
        <v>429</v>
      </c>
      <c r="B255" s="179" t="s">
        <v>516</v>
      </c>
      <c r="C255" s="186">
        <v>38817</v>
      </c>
      <c r="D255" s="188">
        <f t="shared" si="10"/>
        <v>2006</v>
      </c>
      <c r="E255" s="183" t="s">
        <v>532</v>
      </c>
      <c r="F255" s="178">
        <v>700</v>
      </c>
      <c r="G255" s="178">
        <v>14784</v>
      </c>
      <c r="H255" s="178">
        <v>6888</v>
      </c>
      <c r="I255" s="178">
        <v>7896</v>
      </c>
      <c r="J255" s="32">
        <v>247</v>
      </c>
      <c r="K255" s="263">
        <f t="shared" si="11"/>
        <v>61009</v>
      </c>
    </row>
    <row r="256" spans="1:11">
      <c r="A256" s="179" t="s">
        <v>528</v>
      </c>
      <c r="B256" s="179" t="s">
        <v>516</v>
      </c>
      <c r="C256" s="186">
        <v>38820</v>
      </c>
      <c r="D256" s="188">
        <f t="shared" si="10"/>
        <v>2006</v>
      </c>
      <c r="E256" s="183" t="s">
        <v>529</v>
      </c>
      <c r="F256" s="178">
        <v>800</v>
      </c>
      <c r="G256" s="178">
        <v>16264</v>
      </c>
      <c r="H256" s="178">
        <v>7872</v>
      </c>
      <c r="I256" s="178">
        <v>8392</v>
      </c>
      <c r="J256" s="32">
        <v>248</v>
      </c>
      <c r="K256" s="263">
        <f t="shared" si="11"/>
        <v>61504</v>
      </c>
    </row>
    <row r="257" spans="1:11">
      <c r="A257" s="179" t="s">
        <v>423</v>
      </c>
      <c r="B257" s="179" t="s">
        <v>516</v>
      </c>
      <c r="C257" s="186">
        <v>38827</v>
      </c>
      <c r="D257" s="188">
        <f t="shared" si="10"/>
        <v>2006</v>
      </c>
      <c r="E257" s="183" t="s">
        <v>532</v>
      </c>
      <c r="F257" s="178">
        <v>1000</v>
      </c>
      <c r="G257" s="178">
        <v>23820</v>
      </c>
      <c r="H257" s="178">
        <v>9840</v>
      </c>
      <c r="I257" s="178">
        <v>13980</v>
      </c>
      <c r="J257" s="32">
        <v>249</v>
      </c>
      <c r="K257" s="263">
        <f t="shared" si="11"/>
        <v>62001</v>
      </c>
    </row>
    <row r="258" spans="1:11">
      <c r="A258" s="179" t="s">
        <v>429</v>
      </c>
      <c r="B258" s="179" t="s">
        <v>516</v>
      </c>
      <c r="C258" s="186">
        <v>38830</v>
      </c>
      <c r="D258" s="188">
        <f t="shared" si="10"/>
        <v>2006</v>
      </c>
      <c r="E258" s="183" t="s">
        <v>527</v>
      </c>
      <c r="F258" s="178">
        <v>600</v>
      </c>
      <c r="G258" s="178">
        <v>14004</v>
      </c>
      <c r="H258" s="178">
        <v>5904</v>
      </c>
      <c r="I258" s="178">
        <v>8100</v>
      </c>
      <c r="J258" s="32">
        <v>250</v>
      </c>
      <c r="K258" s="263">
        <f t="shared" si="11"/>
        <v>62500</v>
      </c>
    </row>
    <row r="259" spans="1:11">
      <c r="A259" s="179" t="s">
        <v>528</v>
      </c>
      <c r="B259" s="179" t="s">
        <v>518</v>
      </c>
      <c r="C259" s="186">
        <v>38830</v>
      </c>
      <c r="D259" s="188">
        <f t="shared" si="10"/>
        <v>2006</v>
      </c>
      <c r="E259" s="183" t="s">
        <v>535</v>
      </c>
      <c r="F259" s="178">
        <v>400</v>
      </c>
      <c r="G259" s="178">
        <v>9064</v>
      </c>
      <c r="H259" s="178">
        <v>4088</v>
      </c>
      <c r="I259" s="178">
        <v>4976</v>
      </c>
      <c r="J259" s="32">
        <v>251</v>
      </c>
      <c r="K259" s="263">
        <f t="shared" si="11"/>
        <v>63001</v>
      </c>
    </row>
    <row r="260" spans="1:11">
      <c r="A260" s="179" t="s">
        <v>528</v>
      </c>
      <c r="B260" s="179" t="s">
        <v>518</v>
      </c>
      <c r="C260" s="186">
        <v>38830</v>
      </c>
      <c r="D260" s="188">
        <f t="shared" si="10"/>
        <v>2006</v>
      </c>
      <c r="E260" s="183" t="s">
        <v>534</v>
      </c>
      <c r="F260" s="178">
        <v>500</v>
      </c>
      <c r="G260" s="178">
        <v>12135</v>
      </c>
      <c r="H260" s="178">
        <v>5110</v>
      </c>
      <c r="I260" s="178">
        <v>7025</v>
      </c>
      <c r="J260" s="32">
        <v>252</v>
      </c>
      <c r="K260" s="263">
        <f t="shared" si="11"/>
        <v>63504</v>
      </c>
    </row>
    <row r="261" spans="1:11">
      <c r="A261" s="179" t="s">
        <v>429</v>
      </c>
      <c r="B261" s="179" t="s">
        <v>518</v>
      </c>
      <c r="C261" s="186">
        <v>38832</v>
      </c>
      <c r="D261" s="188">
        <f t="shared" si="10"/>
        <v>2006</v>
      </c>
      <c r="E261" s="183" t="s">
        <v>537</v>
      </c>
      <c r="F261" s="178">
        <v>900</v>
      </c>
      <c r="G261" s="178">
        <v>18756</v>
      </c>
      <c r="H261" s="178">
        <v>9198</v>
      </c>
      <c r="I261" s="178">
        <v>9558</v>
      </c>
      <c r="J261" s="32">
        <v>253</v>
      </c>
      <c r="K261" s="263">
        <f t="shared" si="11"/>
        <v>64009</v>
      </c>
    </row>
    <row r="262" spans="1:11">
      <c r="A262" s="179" t="s">
        <v>423</v>
      </c>
      <c r="B262" s="179" t="s">
        <v>518</v>
      </c>
      <c r="C262" s="186">
        <v>38833</v>
      </c>
      <c r="D262" s="188">
        <f t="shared" si="10"/>
        <v>2006</v>
      </c>
      <c r="E262" s="183" t="s">
        <v>531</v>
      </c>
      <c r="F262" s="178">
        <v>200</v>
      </c>
      <c r="G262" s="178">
        <v>5002</v>
      </c>
      <c r="H262" s="178">
        <v>2044</v>
      </c>
      <c r="I262" s="178">
        <v>2958</v>
      </c>
      <c r="J262" s="32">
        <v>254</v>
      </c>
      <c r="K262" s="263">
        <f t="shared" si="11"/>
        <v>64516</v>
      </c>
    </row>
    <row r="263" spans="1:11">
      <c r="A263" s="179" t="s">
        <v>423</v>
      </c>
      <c r="B263" s="179" t="s">
        <v>516</v>
      </c>
      <c r="C263" s="186">
        <v>38834</v>
      </c>
      <c r="D263" s="188">
        <f t="shared" si="10"/>
        <v>2006</v>
      </c>
      <c r="E263" s="183" t="s">
        <v>530</v>
      </c>
      <c r="F263" s="178">
        <v>800</v>
      </c>
      <c r="G263" s="178">
        <v>15856</v>
      </c>
      <c r="H263" s="178">
        <v>7872</v>
      </c>
      <c r="I263" s="178">
        <v>7984</v>
      </c>
      <c r="J263" s="32">
        <v>255</v>
      </c>
      <c r="K263" s="263">
        <f t="shared" si="11"/>
        <v>65025</v>
      </c>
    </row>
    <row r="264" spans="1:11">
      <c r="A264" s="179" t="s">
        <v>429</v>
      </c>
      <c r="B264" s="179" t="s">
        <v>517</v>
      </c>
      <c r="C264" s="186">
        <v>38834</v>
      </c>
      <c r="D264" s="188">
        <f t="shared" si="10"/>
        <v>2006</v>
      </c>
      <c r="E264" s="183" t="s">
        <v>544</v>
      </c>
      <c r="F264" s="178">
        <v>400</v>
      </c>
      <c r="G264" s="178">
        <v>7136</v>
      </c>
      <c r="H264" s="178">
        <v>3388</v>
      </c>
      <c r="I264" s="178">
        <v>3748</v>
      </c>
      <c r="J264" s="32">
        <v>256</v>
      </c>
      <c r="K264" s="263">
        <f t="shared" si="11"/>
        <v>65536</v>
      </c>
    </row>
    <row r="265" spans="1:11">
      <c r="A265" s="179" t="s">
        <v>429</v>
      </c>
      <c r="B265" s="179" t="s">
        <v>516</v>
      </c>
      <c r="C265" s="186">
        <v>38835</v>
      </c>
      <c r="D265" s="188">
        <f t="shared" ref="D265:D328" si="12">YEAR(C265)</f>
        <v>2006</v>
      </c>
      <c r="E265" s="183" t="s">
        <v>525</v>
      </c>
      <c r="F265" s="178">
        <v>600</v>
      </c>
      <c r="G265" s="178">
        <v>14154</v>
      </c>
      <c r="H265" s="178">
        <v>5904</v>
      </c>
      <c r="I265" s="178">
        <v>8250</v>
      </c>
      <c r="J265" s="32">
        <v>257</v>
      </c>
      <c r="K265" s="263">
        <f t="shared" si="11"/>
        <v>66049</v>
      </c>
    </row>
    <row r="266" spans="1:11">
      <c r="A266" s="179" t="s">
        <v>528</v>
      </c>
      <c r="B266" s="179" t="s">
        <v>517</v>
      </c>
      <c r="C266" s="186">
        <v>38837</v>
      </c>
      <c r="D266" s="188">
        <f t="shared" si="12"/>
        <v>2006</v>
      </c>
      <c r="E266" s="183" t="s">
        <v>530</v>
      </c>
      <c r="F266" s="178">
        <v>1000</v>
      </c>
      <c r="G266" s="178">
        <v>20770</v>
      </c>
      <c r="H266" s="178">
        <v>8470</v>
      </c>
      <c r="I266" s="178">
        <v>12300</v>
      </c>
      <c r="J266" s="32">
        <v>258</v>
      </c>
      <c r="K266" s="263">
        <f t="shared" ref="K266:K329" si="13">J266*J266</f>
        <v>66564</v>
      </c>
    </row>
    <row r="267" spans="1:11">
      <c r="A267" s="179" t="s">
        <v>429</v>
      </c>
      <c r="B267" s="179" t="s">
        <v>518</v>
      </c>
      <c r="C267" s="186">
        <v>38842</v>
      </c>
      <c r="D267" s="188">
        <f t="shared" si="12"/>
        <v>2006</v>
      </c>
      <c r="E267" s="183" t="s">
        <v>525</v>
      </c>
      <c r="F267" s="178">
        <v>900</v>
      </c>
      <c r="G267" s="178">
        <v>21042</v>
      </c>
      <c r="H267" s="178">
        <v>9198</v>
      </c>
      <c r="I267" s="178">
        <v>11844</v>
      </c>
      <c r="J267" s="32">
        <v>259</v>
      </c>
      <c r="K267" s="263">
        <f t="shared" si="13"/>
        <v>67081</v>
      </c>
    </row>
    <row r="268" spans="1:11">
      <c r="A268" s="179" t="s">
        <v>423</v>
      </c>
      <c r="B268" s="179" t="s">
        <v>516</v>
      </c>
      <c r="C268" s="186">
        <v>38844</v>
      </c>
      <c r="D268" s="188">
        <f t="shared" si="12"/>
        <v>2006</v>
      </c>
      <c r="E268" s="183" t="s">
        <v>524</v>
      </c>
      <c r="F268" s="178">
        <v>100</v>
      </c>
      <c r="G268" s="178">
        <v>2042</v>
      </c>
      <c r="H268" s="178">
        <v>984</v>
      </c>
      <c r="I268" s="178">
        <v>1058</v>
      </c>
      <c r="J268" s="32">
        <v>260</v>
      </c>
      <c r="K268" s="263">
        <f t="shared" si="13"/>
        <v>67600</v>
      </c>
    </row>
    <row r="269" spans="1:11">
      <c r="A269" s="179" t="s">
        <v>429</v>
      </c>
      <c r="B269" s="179" t="s">
        <v>518</v>
      </c>
      <c r="C269" s="186">
        <v>38848</v>
      </c>
      <c r="D269" s="188">
        <f t="shared" si="12"/>
        <v>2006</v>
      </c>
      <c r="E269" s="183" t="s">
        <v>525</v>
      </c>
      <c r="F269" s="178">
        <v>900</v>
      </c>
      <c r="G269" s="178">
        <v>19062</v>
      </c>
      <c r="H269" s="178">
        <v>9198</v>
      </c>
      <c r="I269" s="178">
        <v>9864</v>
      </c>
      <c r="J269" s="32">
        <v>261</v>
      </c>
      <c r="K269" s="263">
        <f t="shared" si="13"/>
        <v>68121</v>
      </c>
    </row>
    <row r="270" spans="1:11">
      <c r="A270" s="179" t="s">
        <v>429</v>
      </c>
      <c r="B270" s="179" t="s">
        <v>518</v>
      </c>
      <c r="C270" s="186">
        <v>38853</v>
      </c>
      <c r="D270" s="188">
        <f t="shared" si="12"/>
        <v>2006</v>
      </c>
      <c r="E270" s="183" t="s">
        <v>534</v>
      </c>
      <c r="F270" s="178">
        <v>400</v>
      </c>
      <c r="G270" s="178">
        <v>9816</v>
      </c>
      <c r="H270" s="178">
        <v>4088</v>
      </c>
      <c r="I270" s="178">
        <v>5728</v>
      </c>
      <c r="J270" s="32">
        <v>262</v>
      </c>
      <c r="K270" s="263">
        <f t="shared" si="13"/>
        <v>68644</v>
      </c>
    </row>
    <row r="271" spans="1:11">
      <c r="A271" s="179" t="s">
        <v>528</v>
      </c>
      <c r="B271" s="179" t="s">
        <v>516</v>
      </c>
      <c r="C271" s="186">
        <v>38856</v>
      </c>
      <c r="D271" s="188">
        <f t="shared" si="12"/>
        <v>2006</v>
      </c>
      <c r="E271" s="183" t="s">
        <v>537</v>
      </c>
      <c r="F271" s="178">
        <v>900</v>
      </c>
      <c r="G271" s="178">
        <v>21033</v>
      </c>
      <c r="H271" s="178">
        <v>8856</v>
      </c>
      <c r="I271" s="178">
        <v>12177</v>
      </c>
      <c r="J271" s="32">
        <v>263</v>
      </c>
      <c r="K271" s="263">
        <f t="shared" si="13"/>
        <v>69169</v>
      </c>
    </row>
    <row r="272" spans="1:11">
      <c r="A272" s="179" t="s">
        <v>429</v>
      </c>
      <c r="B272" s="179" t="s">
        <v>518</v>
      </c>
      <c r="C272" s="186">
        <v>38858</v>
      </c>
      <c r="D272" s="188">
        <f t="shared" si="12"/>
        <v>2006</v>
      </c>
      <c r="E272" s="183" t="s">
        <v>529</v>
      </c>
      <c r="F272" s="178">
        <v>400</v>
      </c>
      <c r="G272" s="178">
        <v>9156</v>
      </c>
      <c r="H272" s="178">
        <v>4088</v>
      </c>
      <c r="I272" s="178">
        <v>5068</v>
      </c>
      <c r="J272" s="32">
        <v>264</v>
      </c>
      <c r="K272" s="263">
        <f t="shared" si="13"/>
        <v>69696</v>
      </c>
    </row>
    <row r="273" spans="1:11">
      <c r="A273" s="179" t="s">
        <v>429</v>
      </c>
      <c r="B273" s="179" t="s">
        <v>517</v>
      </c>
      <c r="C273" s="186">
        <v>38858</v>
      </c>
      <c r="D273" s="188">
        <f t="shared" si="12"/>
        <v>2006</v>
      </c>
      <c r="E273" s="183" t="s">
        <v>523</v>
      </c>
      <c r="F273" s="178">
        <v>700</v>
      </c>
      <c r="G273" s="178">
        <v>13874</v>
      </c>
      <c r="H273" s="178">
        <v>5929</v>
      </c>
      <c r="I273" s="178">
        <v>7945</v>
      </c>
      <c r="J273" s="32">
        <v>265</v>
      </c>
      <c r="K273" s="263">
        <f t="shared" si="13"/>
        <v>70225</v>
      </c>
    </row>
    <row r="274" spans="1:11">
      <c r="A274" s="179" t="s">
        <v>429</v>
      </c>
      <c r="B274" s="179" t="s">
        <v>516</v>
      </c>
      <c r="C274" s="186">
        <v>38860</v>
      </c>
      <c r="D274" s="188">
        <f t="shared" si="12"/>
        <v>2006</v>
      </c>
      <c r="E274" s="183" t="s">
        <v>529</v>
      </c>
      <c r="F274" s="178">
        <v>200</v>
      </c>
      <c r="G274" s="178">
        <v>4474</v>
      </c>
      <c r="H274" s="178">
        <v>1968</v>
      </c>
      <c r="I274" s="178">
        <v>2506</v>
      </c>
      <c r="J274" s="32">
        <v>266</v>
      </c>
      <c r="K274" s="263">
        <f t="shared" si="13"/>
        <v>70756</v>
      </c>
    </row>
    <row r="275" spans="1:11">
      <c r="A275" s="179" t="s">
        <v>429</v>
      </c>
      <c r="B275" s="179" t="s">
        <v>517</v>
      </c>
      <c r="C275" s="186">
        <v>38861</v>
      </c>
      <c r="D275" s="188">
        <f t="shared" si="12"/>
        <v>2006</v>
      </c>
      <c r="E275" s="183" t="s">
        <v>537</v>
      </c>
      <c r="F275" s="178">
        <v>400</v>
      </c>
      <c r="G275" s="178">
        <v>7152</v>
      </c>
      <c r="H275" s="178">
        <v>3388</v>
      </c>
      <c r="I275" s="178">
        <v>3764</v>
      </c>
      <c r="J275" s="32">
        <v>267</v>
      </c>
      <c r="K275" s="263">
        <f t="shared" si="13"/>
        <v>71289</v>
      </c>
    </row>
    <row r="276" spans="1:11">
      <c r="A276" s="179" t="s">
        <v>528</v>
      </c>
      <c r="B276" s="179" t="s">
        <v>517</v>
      </c>
      <c r="C276" s="186">
        <v>38861</v>
      </c>
      <c r="D276" s="188">
        <f t="shared" si="12"/>
        <v>2006</v>
      </c>
      <c r="E276" s="183" t="s">
        <v>531</v>
      </c>
      <c r="F276" s="178">
        <v>600</v>
      </c>
      <c r="G276" s="178">
        <v>11964</v>
      </c>
      <c r="H276" s="178">
        <v>5082</v>
      </c>
      <c r="I276" s="178">
        <v>6882</v>
      </c>
      <c r="J276" s="32">
        <v>268</v>
      </c>
      <c r="K276" s="263">
        <f t="shared" si="13"/>
        <v>71824</v>
      </c>
    </row>
    <row r="277" spans="1:11">
      <c r="A277" s="179" t="s">
        <v>423</v>
      </c>
      <c r="B277" s="179" t="s">
        <v>517</v>
      </c>
      <c r="C277" s="186">
        <v>38862</v>
      </c>
      <c r="D277" s="188">
        <f t="shared" si="12"/>
        <v>2006</v>
      </c>
      <c r="E277" s="183" t="s">
        <v>531</v>
      </c>
      <c r="F277" s="178">
        <v>1000</v>
      </c>
      <c r="G277" s="178">
        <v>18530</v>
      </c>
      <c r="H277" s="178">
        <v>8470</v>
      </c>
      <c r="I277" s="178">
        <v>10060</v>
      </c>
      <c r="J277" s="32">
        <v>269</v>
      </c>
      <c r="K277" s="263">
        <f t="shared" si="13"/>
        <v>72361</v>
      </c>
    </row>
    <row r="278" spans="1:11">
      <c r="A278" s="179" t="s">
        <v>429</v>
      </c>
      <c r="B278" s="179" t="s">
        <v>518</v>
      </c>
      <c r="C278" s="186">
        <v>38865</v>
      </c>
      <c r="D278" s="188">
        <f t="shared" si="12"/>
        <v>2006</v>
      </c>
      <c r="E278" s="183" t="s">
        <v>524</v>
      </c>
      <c r="F278" s="178">
        <v>600</v>
      </c>
      <c r="G278" s="178">
        <v>13290</v>
      </c>
      <c r="H278" s="178">
        <v>6132</v>
      </c>
      <c r="I278" s="178">
        <v>7158</v>
      </c>
      <c r="J278" s="32">
        <v>270</v>
      </c>
      <c r="K278" s="263">
        <f t="shared" si="13"/>
        <v>72900</v>
      </c>
    </row>
    <row r="279" spans="1:11">
      <c r="A279" s="179" t="s">
        <v>429</v>
      </c>
      <c r="B279" s="179" t="s">
        <v>516</v>
      </c>
      <c r="C279" s="186">
        <v>38868</v>
      </c>
      <c r="D279" s="188">
        <f t="shared" si="12"/>
        <v>2006</v>
      </c>
      <c r="E279" s="183" t="s">
        <v>530</v>
      </c>
      <c r="F279" s="178">
        <v>800</v>
      </c>
      <c r="G279" s="178">
        <v>17136</v>
      </c>
      <c r="H279" s="178">
        <v>7872</v>
      </c>
      <c r="I279" s="178">
        <v>9264</v>
      </c>
      <c r="J279" s="32">
        <v>271</v>
      </c>
      <c r="K279" s="263">
        <f t="shared" si="13"/>
        <v>73441</v>
      </c>
    </row>
    <row r="280" spans="1:11">
      <c r="A280" s="179" t="s">
        <v>528</v>
      </c>
      <c r="B280" s="179" t="s">
        <v>516</v>
      </c>
      <c r="C280" s="186">
        <v>38870</v>
      </c>
      <c r="D280" s="188">
        <f t="shared" si="12"/>
        <v>2006</v>
      </c>
      <c r="E280" s="183" t="s">
        <v>533</v>
      </c>
      <c r="F280" s="178">
        <v>200</v>
      </c>
      <c r="G280" s="178">
        <v>4492</v>
      </c>
      <c r="H280" s="178">
        <v>1968</v>
      </c>
      <c r="I280" s="178">
        <v>2524</v>
      </c>
      <c r="J280" s="32">
        <v>272</v>
      </c>
      <c r="K280" s="263">
        <f t="shared" si="13"/>
        <v>73984</v>
      </c>
    </row>
    <row r="281" spans="1:11">
      <c r="A281" s="179" t="s">
        <v>429</v>
      </c>
      <c r="B281" s="179" t="s">
        <v>517</v>
      </c>
      <c r="C281" s="186">
        <v>38872</v>
      </c>
      <c r="D281" s="188">
        <f t="shared" si="12"/>
        <v>2006</v>
      </c>
      <c r="E281" s="183" t="s">
        <v>537</v>
      </c>
      <c r="F281" s="178">
        <v>800</v>
      </c>
      <c r="G281" s="178">
        <v>14984</v>
      </c>
      <c r="H281" s="178">
        <v>6776</v>
      </c>
      <c r="I281" s="178">
        <v>8208</v>
      </c>
      <c r="J281" s="32">
        <v>273</v>
      </c>
      <c r="K281" s="263">
        <f t="shared" si="13"/>
        <v>74529</v>
      </c>
    </row>
    <row r="282" spans="1:11">
      <c r="A282" s="179" t="s">
        <v>429</v>
      </c>
      <c r="B282" s="179" t="s">
        <v>517</v>
      </c>
      <c r="C282" s="186">
        <v>38873</v>
      </c>
      <c r="D282" s="188">
        <f t="shared" si="12"/>
        <v>2006</v>
      </c>
      <c r="E282" s="183" t="s">
        <v>537</v>
      </c>
      <c r="F282" s="178">
        <v>900</v>
      </c>
      <c r="G282" s="178">
        <v>18576</v>
      </c>
      <c r="H282" s="178">
        <v>7623</v>
      </c>
      <c r="I282" s="178">
        <v>10953</v>
      </c>
      <c r="J282" s="32">
        <v>274</v>
      </c>
      <c r="K282" s="263">
        <f t="shared" si="13"/>
        <v>75076</v>
      </c>
    </row>
    <row r="283" spans="1:11">
      <c r="A283" s="179" t="s">
        <v>528</v>
      </c>
      <c r="B283" s="179" t="s">
        <v>516</v>
      </c>
      <c r="C283" s="186">
        <v>38873</v>
      </c>
      <c r="D283" s="188">
        <f t="shared" si="12"/>
        <v>2006</v>
      </c>
      <c r="E283" s="183" t="s">
        <v>542</v>
      </c>
      <c r="F283" s="178">
        <v>500</v>
      </c>
      <c r="G283" s="178">
        <v>11220</v>
      </c>
      <c r="H283" s="178">
        <v>4920</v>
      </c>
      <c r="I283" s="178">
        <v>6300</v>
      </c>
      <c r="J283" s="32">
        <v>275</v>
      </c>
      <c r="K283" s="263">
        <f t="shared" si="13"/>
        <v>75625</v>
      </c>
    </row>
    <row r="284" spans="1:11">
      <c r="A284" s="179" t="s">
        <v>429</v>
      </c>
      <c r="B284" s="179" t="s">
        <v>518</v>
      </c>
      <c r="C284" s="186">
        <v>38873</v>
      </c>
      <c r="D284" s="188">
        <f t="shared" si="12"/>
        <v>2006</v>
      </c>
      <c r="E284" s="183" t="s">
        <v>532</v>
      </c>
      <c r="F284" s="178">
        <v>900</v>
      </c>
      <c r="G284" s="178">
        <v>22716</v>
      </c>
      <c r="H284" s="178">
        <v>9198</v>
      </c>
      <c r="I284" s="178">
        <v>13518</v>
      </c>
      <c r="J284" s="32">
        <v>276</v>
      </c>
      <c r="K284" s="263">
        <f t="shared" si="13"/>
        <v>76176</v>
      </c>
    </row>
    <row r="285" spans="1:11">
      <c r="A285" s="179" t="s">
        <v>429</v>
      </c>
      <c r="B285" s="179" t="s">
        <v>517</v>
      </c>
      <c r="C285" s="186">
        <v>38877</v>
      </c>
      <c r="D285" s="188">
        <f t="shared" si="12"/>
        <v>2006</v>
      </c>
      <c r="E285" s="183" t="s">
        <v>524</v>
      </c>
      <c r="F285" s="178">
        <v>500</v>
      </c>
      <c r="G285" s="178">
        <v>9345</v>
      </c>
      <c r="H285" s="178">
        <v>4235</v>
      </c>
      <c r="I285" s="178">
        <v>5110</v>
      </c>
      <c r="J285" s="32">
        <v>277</v>
      </c>
      <c r="K285" s="263">
        <f t="shared" si="13"/>
        <v>76729</v>
      </c>
    </row>
    <row r="286" spans="1:11">
      <c r="A286" s="179" t="s">
        <v>528</v>
      </c>
      <c r="B286" s="179" t="s">
        <v>518</v>
      </c>
      <c r="C286" s="186">
        <v>38887</v>
      </c>
      <c r="D286" s="188">
        <f t="shared" si="12"/>
        <v>2006</v>
      </c>
      <c r="E286" s="183" t="s">
        <v>531</v>
      </c>
      <c r="F286" s="178">
        <v>300</v>
      </c>
      <c r="G286" s="178">
        <v>6495</v>
      </c>
      <c r="H286" s="178">
        <v>3066</v>
      </c>
      <c r="I286" s="178">
        <v>3429</v>
      </c>
      <c r="J286" s="32">
        <v>278</v>
      </c>
      <c r="K286" s="263">
        <f t="shared" si="13"/>
        <v>77284</v>
      </c>
    </row>
    <row r="287" spans="1:11">
      <c r="A287" s="179" t="s">
        <v>423</v>
      </c>
      <c r="B287" s="179" t="s">
        <v>517</v>
      </c>
      <c r="C287" s="186">
        <v>38887</v>
      </c>
      <c r="D287" s="188">
        <f t="shared" si="12"/>
        <v>2006</v>
      </c>
      <c r="E287" s="183" t="s">
        <v>523</v>
      </c>
      <c r="F287" s="178">
        <v>300</v>
      </c>
      <c r="G287" s="178">
        <v>5094</v>
      </c>
      <c r="H287" s="178">
        <v>2541</v>
      </c>
      <c r="I287" s="178">
        <v>2553</v>
      </c>
      <c r="J287" s="32">
        <v>279</v>
      </c>
      <c r="K287" s="263">
        <f t="shared" si="13"/>
        <v>77841</v>
      </c>
    </row>
    <row r="288" spans="1:11">
      <c r="A288" s="179" t="s">
        <v>429</v>
      </c>
      <c r="B288" s="179" t="s">
        <v>518</v>
      </c>
      <c r="C288" s="186">
        <v>38887</v>
      </c>
      <c r="D288" s="188">
        <f t="shared" si="12"/>
        <v>2006</v>
      </c>
      <c r="E288" s="183" t="s">
        <v>524</v>
      </c>
      <c r="F288" s="178">
        <v>1000</v>
      </c>
      <c r="G288" s="178">
        <v>21880</v>
      </c>
      <c r="H288" s="178">
        <v>10220</v>
      </c>
      <c r="I288" s="178">
        <v>11660</v>
      </c>
      <c r="J288" s="32">
        <v>280</v>
      </c>
      <c r="K288" s="263">
        <f t="shared" si="13"/>
        <v>78400</v>
      </c>
    </row>
    <row r="289" spans="1:11">
      <c r="A289" s="179" t="s">
        <v>423</v>
      </c>
      <c r="B289" s="179" t="s">
        <v>518</v>
      </c>
      <c r="C289" s="186">
        <v>38889</v>
      </c>
      <c r="D289" s="188">
        <f t="shared" si="12"/>
        <v>2006</v>
      </c>
      <c r="E289" s="183" t="s">
        <v>527</v>
      </c>
      <c r="F289" s="178">
        <v>800</v>
      </c>
      <c r="G289" s="178">
        <v>18072</v>
      </c>
      <c r="H289" s="178">
        <v>8176</v>
      </c>
      <c r="I289" s="178">
        <v>9896</v>
      </c>
      <c r="J289" s="32">
        <v>281</v>
      </c>
      <c r="K289" s="263">
        <f t="shared" si="13"/>
        <v>78961</v>
      </c>
    </row>
    <row r="290" spans="1:11">
      <c r="A290" s="179" t="s">
        <v>528</v>
      </c>
      <c r="B290" s="179" t="s">
        <v>518</v>
      </c>
      <c r="C290" s="186">
        <v>38890</v>
      </c>
      <c r="D290" s="188">
        <f t="shared" si="12"/>
        <v>2006</v>
      </c>
      <c r="E290" s="183" t="s">
        <v>530</v>
      </c>
      <c r="F290" s="178">
        <v>100</v>
      </c>
      <c r="G290" s="178">
        <v>2309</v>
      </c>
      <c r="H290" s="178">
        <v>1022</v>
      </c>
      <c r="I290" s="178">
        <v>1287</v>
      </c>
      <c r="J290" s="32">
        <v>282</v>
      </c>
      <c r="K290" s="263">
        <f t="shared" si="13"/>
        <v>79524</v>
      </c>
    </row>
    <row r="291" spans="1:11">
      <c r="A291" s="179" t="s">
        <v>528</v>
      </c>
      <c r="B291" s="179" t="s">
        <v>518</v>
      </c>
      <c r="C291" s="186">
        <v>38890</v>
      </c>
      <c r="D291" s="188">
        <f t="shared" si="12"/>
        <v>2006</v>
      </c>
      <c r="E291" s="183" t="s">
        <v>533</v>
      </c>
      <c r="F291" s="178">
        <v>500</v>
      </c>
      <c r="G291" s="178">
        <v>11470</v>
      </c>
      <c r="H291" s="178">
        <v>5110</v>
      </c>
      <c r="I291" s="178">
        <v>6360</v>
      </c>
      <c r="J291" s="32">
        <v>283</v>
      </c>
      <c r="K291" s="263">
        <f t="shared" si="13"/>
        <v>80089</v>
      </c>
    </row>
    <row r="292" spans="1:11">
      <c r="A292" s="179" t="s">
        <v>429</v>
      </c>
      <c r="B292" s="179" t="s">
        <v>516</v>
      </c>
      <c r="C292" s="186">
        <v>38895</v>
      </c>
      <c r="D292" s="188">
        <f t="shared" si="12"/>
        <v>2006</v>
      </c>
      <c r="E292" s="183" t="s">
        <v>531</v>
      </c>
      <c r="F292" s="178">
        <v>900</v>
      </c>
      <c r="G292" s="178">
        <v>21168</v>
      </c>
      <c r="H292" s="178">
        <v>8856</v>
      </c>
      <c r="I292" s="178">
        <v>12312</v>
      </c>
      <c r="J292" s="32">
        <v>284</v>
      </c>
      <c r="K292" s="263">
        <f t="shared" si="13"/>
        <v>80656</v>
      </c>
    </row>
    <row r="293" spans="1:11">
      <c r="A293" s="179" t="s">
        <v>528</v>
      </c>
      <c r="B293" s="179" t="s">
        <v>516</v>
      </c>
      <c r="C293" s="186">
        <v>38896</v>
      </c>
      <c r="D293" s="188">
        <f t="shared" si="12"/>
        <v>2006</v>
      </c>
      <c r="E293" s="183" t="s">
        <v>524</v>
      </c>
      <c r="F293" s="178">
        <v>100</v>
      </c>
      <c r="G293" s="178">
        <v>2257</v>
      </c>
      <c r="H293" s="178">
        <v>984</v>
      </c>
      <c r="I293" s="178">
        <v>1273</v>
      </c>
      <c r="J293" s="32">
        <v>285</v>
      </c>
      <c r="K293" s="263">
        <f t="shared" si="13"/>
        <v>81225</v>
      </c>
    </row>
    <row r="294" spans="1:11">
      <c r="A294" s="179" t="s">
        <v>423</v>
      </c>
      <c r="B294" s="179" t="s">
        <v>517</v>
      </c>
      <c r="C294" s="186">
        <v>38900</v>
      </c>
      <c r="D294" s="188">
        <f t="shared" si="12"/>
        <v>2006</v>
      </c>
      <c r="E294" s="183" t="s">
        <v>532</v>
      </c>
      <c r="F294" s="178">
        <v>200</v>
      </c>
      <c r="G294" s="178">
        <v>3418</v>
      </c>
      <c r="H294" s="178">
        <v>1694</v>
      </c>
      <c r="I294" s="178">
        <v>1724</v>
      </c>
      <c r="J294" s="32">
        <v>286</v>
      </c>
      <c r="K294" s="263">
        <f t="shared" si="13"/>
        <v>81796</v>
      </c>
    </row>
    <row r="295" spans="1:11">
      <c r="A295" s="179" t="s">
        <v>528</v>
      </c>
      <c r="B295" s="179" t="s">
        <v>516</v>
      </c>
      <c r="C295" s="186">
        <v>38904</v>
      </c>
      <c r="D295" s="188">
        <f t="shared" si="12"/>
        <v>2006</v>
      </c>
      <c r="E295" s="183" t="s">
        <v>531</v>
      </c>
      <c r="F295" s="178">
        <v>1000</v>
      </c>
      <c r="G295" s="178">
        <v>20840</v>
      </c>
      <c r="H295" s="178">
        <v>9840</v>
      </c>
      <c r="I295" s="178">
        <v>11000</v>
      </c>
      <c r="J295" s="32">
        <v>287</v>
      </c>
      <c r="K295" s="263">
        <f t="shared" si="13"/>
        <v>82369</v>
      </c>
    </row>
    <row r="296" spans="1:11">
      <c r="A296" s="179" t="s">
        <v>423</v>
      </c>
      <c r="B296" s="179" t="s">
        <v>517</v>
      </c>
      <c r="C296" s="186">
        <v>38906</v>
      </c>
      <c r="D296" s="188">
        <f t="shared" si="12"/>
        <v>2006</v>
      </c>
      <c r="E296" s="183" t="s">
        <v>532</v>
      </c>
      <c r="F296" s="178">
        <v>1000</v>
      </c>
      <c r="G296" s="178">
        <v>19110</v>
      </c>
      <c r="H296" s="178">
        <v>8470</v>
      </c>
      <c r="I296" s="178">
        <v>10640</v>
      </c>
      <c r="J296" s="32">
        <v>288</v>
      </c>
      <c r="K296" s="263">
        <f t="shared" si="13"/>
        <v>82944</v>
      </c>
    </row>
    <row r="297" spans="1:11">
      <c r="A297" s="179" t="s">
        <v>528</v>
      </c>
      <c r="B297" s="179" t="s">
        <v>517</v>
      </c>
      <c r="C297" s="186">
        <v>38908</v>
      </c>
      <c r="D297" s="188">
        <f t="shared" si="12"/>
        <v>2006</v>
      </c>
      <c r="E297" s="183" t="s">
        <v>534</v>
      </c>
      <c r="F297" s="178">
        <v>100</v>
      </c>
      <c r="G297" s="178">
        <v>2108</v>
      </c>
      <c r="H297" s="178">
        <v>847</v>
      </c>
      <c r="I297" s="178">
        <v>1261</v>
      </c>
      <c r="J297" s="32">
        <v>289</v>
      </c>
      <c r="K297" s="263">
        <f t="shared" si="13"/>
        <v>83521</v>
      </c>
    </row>
    <row r="298" spans="1:11">
      <c r="A298" s="179" t="s">
        <v>423</v>
      </c>
      <c r="B298" s="179" t="s">
        <v>517</v>
      </c>
      <c r="C298" s="186">
        <v>38909</v>
      </c>
      <c r="D298" s="188">
        <f t="shared" si="12"/>
        <v>2006</v>
      </c>
      <c r="E298" s="183" t="s">
        <v>531</v>
      </c>
      <c r="F298" s="178">
        <v>1000</v>
      </c>
      <c r="G298" s="178">
        <v>18500</v>
      </c>
      <c r="H298" s="178">
        <v>8470</v>
      </c>
      <c r="I298" s="178">
        <v>10030</v>
      </c>
      <c r="J298" s="32">
        <v>290</v>
      </c>
      <c r="K298" s="263">
        <f t="shared" si="13"/>
        <v>84100</v>
      </c>
    </row>
    <row r="299" spans="1:11">
      <c r="A299" s="179" t="s">
        <v>423</v>
      </c>
      <c r="B299" s="179" t="s">
        <v>518</v>
      </c>
      <c r="C299" s="186">
        <v>38910</v>
      </c>
      <c r="D299" s="188">
        <f t="shared" si="12"/>
        <v>2006</v>
      </c>
      <c r="E299" s="183" t="s">
        <v>534</v>
      </c>
      <c r="F299" s="178">
        <v>100</v>
      </c>
      <c r="G299" s="178">
        <v>2213</v>
      </c>
      <c r="H299" s="178">
        <v>1022</v>
      </c>
      <c r="I299" s="178">
        <v>1191</v>
      </c>
      <c r="J299" s="32">
        <v>291</v>
      </c>
      <c r="K299" s="263">
        <f t="shared" si="13"/>
        <v>84681</v>
      </c>
    </row>
    <row r="300" spans="1:11">
      <c r="A300" s="179" t="s">
        <v>423</v>
      </c>
      <c r="B300" s="179" t="s">
        <v>516</v>
      </c>
      <c r="C300" s="186">
        <v>38911</v>
      </c>
      <c r="D300" s="188">
        <f t="shared" si="12"/>
        <v>2006</v>
      </c>
      <c r="E300" s="183" t="s">
        <v>529</v>
      </c>
      <c r="F300" s="178">
        <v>1000</v>
      </c>
      <c r="G300" s="178">
        <v>21740</v>
      </c>
      <c r="H300" s="178">
        <v>9840</v>
      </c>
      <c r="I300" s="178">
        <v>11900</v>
      </c>
      <c r="J300" s="32">
        <v>292</v>
      </c>
      <c r="K300" s="263">
        <f t="shared" si="13"/>
        <v>85264</v>
      </c>
    </row>
    <row r="301" spans="1:11">
      <c r="A301" s="179" t="s">
        <v>429</v>
      </c>
      <c r="B301" s="179" t="s">
        <v>517</v>
      </c>
      <c r="C301" s="186">
        <v>38914</v>
      </c>
      <c r="D301" s="188">
        <f t="shared" si="12"/>
        <v>2006</v>
      </c>
      <c r="E301" s="183" t="s">
        <v>533</v>
      </c>
      <c r="F301" s="178">
        <v>800</v>
      </c>
      <c r="G301" s="178">
        <v>16008</v>
      </c>
      <c r="H301" s="178">
        <v>6776</v>
      </c>
      <c r="I301" s="178">
        <v>9232</v>
      </c>
      <c r="J301" s="32">
        <v>293</v>
      </c>
      <c r="K301" s="263">
        <f t="shared" si="13"/>
        <v>85849</v>
      </c>
    </row>
    <row r="302" spans="1:11">
      <c r="A302" s="179" t="s">
        <v>528</v>
      </c>
      <c r="B302" s="179" t="s">
        <v>517</v>
      </c>
      <c r="C302" s="186">
        <v>38915</v>
      </c>
      <c r="D302" s="188">
        <f t="shared" si="12"/>
        <v>2006</v>
      </c>
      <c r="E302" s="183" t="s">
        <v>530</v>
      </c>
      <c r="F302" s="178">
        <v>100</v>
      </c>
      <c r="G302" s="178">
        <v>1817</v>
      </c>
      <c r="H302" s="178">
        <v>847</v>
      </c>
      <c r="I302" s="178">
        <v>970</v>
      </c>
      <c r="J302" s="32">
        <v>294</v>
      </c>
      <c r="K302" s="263">
        <f t="shared" si="13"/>
        <v>86436</v>
      </c>
    </row>
    <row r="303" spans="1:11">
      <c r="A303" s="179" t="s">
        <v>528</v>
      </c>
      <c r="B303" s="179" t="s">
        <v>517</v>
      </c>
      <c r="C303" s="186">
        <v>38915</v>
      </c>
      <c r="D303" s="188">
        <f t="shared" si="12"/>
        <v>2006</v>
      </c>
      <c r="E303" s="183" t="s">
        <v>534</v>
      </c>
      <c r="F303" s="178">
        <v>300</v>
      </c>
      <c r="G303" s="178">
        <v>6267</v>
      </c>
      <c r="H303" s="178">
        <v>2541</v>
      </c>
      <c r="I303" s="178">
        <v>3726</v>
      </c>
      <c r="J303" s="32">
        <v>295</v>
      </c>
      <c r="K303" s="263">
        <f t="shared" si="13"/>
        <v>87025</v>
      </c>
    </row>
    <row r="304" spans="1:11">
      <c r="A304" s="179" t="s">
        <v>423</v>
      </c>
      <c r="B304" s="179" t="s">
        <v>518</v>
      </c>
      <c r="C304" s="186">
        <v>38916</v>
      </c>
      <c r="D304" s="188">
        <f t="shared" si="12"/>
        <v>2006</v>
      </c>
      <c r="E304" s="183" t="s">
        <v>525</v>
      </c>
      <c r="F304" s="178">
        <v>1000</v>
      </c>
      <c r="G304" s="178">
        <v>25310</v>
      </c>
      <c r="H304" s="178">
        <v>10220</v>
      </c>
      <c r="I304" s="178">
        <v>15090</v>
      </c>
      <c r="J304" s="32">
        <v>296</v>
      </c>
      <c r="K304" s="263">
        <f t="shared" si="13"/>
        <v>87616</v>
      </c>
    </row>
    <row r="305" spans="1:11">
      <c r="A305" s="179" t="s">
        <v>429</v>
      </c>
      <c r="B305" s="179" t="s">
        <v>517</v>
      </c>
      <c r="C305" s="186">
        <v>38919</v>
      </c>
      <c r="D305" s="188">
        <f t="shared" si="12"/>
        <v>2006</v>
      </c>
      <c r="E305" s="183" t="s">
        <v>530</v>
      </c>
      <c r="F305" s="178">
        <v>700</v>
      </c>
      <c r="G305" s="178">
        <v>12131</v>
      </c>
      <c r="H305" s="178">
        <v>5929</v>
      </c>
      <c r="I305" s="178">
        <v>6202</v>
      </c>
      <c r="J305" s="32">
        <v>297</v>
      </c>
      <c r="K305" s="263">
        <f t="shared" si="13"/>
        <v>88209</v>
      </c>
    </row>
    <row r="306" spans="1:11">
      <c r="A306" s="179" t="s">
        <v>423</v>
      </c>
      <c r="B306" s="179" t="s">
        <v>516</v>
      </c>
      <c r="C306" s="186">
        <v>38919</v>
      </c>
      <c r="D306" s="188">
        <f t="shared" si="12"/>
        <v>2006</v>
      </c>
      <c r="E306" s="183" t="s">
        <v>533</v>
      </c>
      <c r="F306" s="178">
        <v>200</v>
      </c>
      <c r="G306" s="178">
        <v>4470</v>
      </c>
      <c r="H306" s="178">
        <v>1968</v>
      </c>
      <c r="I306" s="178">
        <v>2502</v>
      </c>
      <c r="J306" s="32">
        <v>298</v>
      </c>
      <c r="K306" s="263">
        <f t="shared" si="13"/>
        <v>88804</v>
      </c>
    </row>
    <row r="307" spans="1:11">
      <c r="A307" s="179" t="s">
        <v>429</v>
      </c>
      <c r="B307" s="179" t="s">
        <v>517</v>
      </c>
      <c r="C307" s="186">
        <v>38919</v>
      </c>
      <c r="D307" s="188">
        <f t="shared" si="12"/>
        <v>2006</v>
      </c>
      <c r="E307" s="183" t="s">
        <v>532</v>
      </c>
      <c r="F307" s="178">
        <v>800</v>
      </c>
      <c r="G307" s="178">
        <v>14224</v>
      </c>
      <c r="H307" s="178">
        <v>6776</v>
      </c>
      <c r="I307" s="178">
        <v>7448</v>
      </c>
      <c r="J307" s="32">
        <v>299</v>
      </c>
      <c r="K307" s="263">
        <f t="shared" si="13"/>
        <v>89401</v>
      </c>
    </row>
    <row r="308" spans="1:11">
      <c r="A308" s="179" t="s">
        <v>423</v>
      </c>
      <c r="B308" s="179" t="s">
        <v>518</v>
      </c>
      <c r="C308" s="186">
        <v>38921</v>
      </c>
      <c r="D308" s="188">
        <f t="shared" si="12"/>
        <v>2006</v>
      </c>
      <c r="E308" s="183" t="s">
        <v>523</v>
      </c>
      <c r="F308" s="178">
        <v>400</v>
      </c>
      <c r="G308" s="178">
        <v>9144</v>
      </c>
      <c r="H308" s="178">
        <v>4088</v>
      </c>
      <c r="I308" s="178">
        <v>5056</v>
      </c>
      <c r="J308" s="32">
        <v>300</v>
      </c>
      <c r="K308" s="263">
        <f t="shared" si="13"/>
        <v>90000</v>
      </c>
    </row>
    <row r="309" spans="1:11">
      <c r="A309" s="179" t="s">
        <v>423</v>
      </c>
      <c r="B309" s="179" t="s">
        <v>517</v>
      </c>
      <c r="C309" s="186">
        <v>38921</v>
      </c>
      <c r="D309" s="188">
        <f t="shared" si="12"/>
        <v>2006</v>
      </c>
      <c r="E309" s="183" t="s">
        <v>541</v>
      </c>
      <c r="F309" s="178">
        <v>700</v>
      </c>
      <c r="G309" s="178">
        <v>13853</v>
      </c>
      <c r="H309" s="178">
        <v>5929</v>
      </c>
      <c r="I309" s="178">
        <v>7924</v>
      </c>
      <c r="J309" s="32">
        <v>301</v>
      </c>
      <c r="K309" s="263">
        <f t="shared" si="13"/>
        <v>90601</v>
      </c>
    </row>
    <row r="310" spans="1:11">
      <c r="A310" s="179" t="s">
        <v>423</v>
      </c>
      <c r="B310" s="179" t="s">
        <v>518</v>
      </c>
      <c r="C310" s="186">
        <v>38927</v>
      </c>
      <c r="D310" s="188">
        <f t="shared" si="12"/>
        <v>2006</v>
      </c>
      <c r="E310" s="183" t="s">
        <v>535</v>
      </c>
      <c r="F310" s="178">
        <v>400</v>
      </c>
      <c r="G310" s="178">
        <v>8556</v>
      </c>
      <c r="H310" s="178">
        <v>4088</v>
      </c>
      <c r="I310" s="178">
        <v>4468</v>
      </c>
      <c r="J310" s="32">
        <v>302</v>
      </c>
      <c r="K310" s="263">
        <f t="shared" si="13"/>
        <v>91204</v>
      </c>
    </row>
    <row r="311" spans="1:11">
      <c r="A311" s="179" t="s">
        <v>528</v>
      </c>
      <c r="B311" s="179" t="s">
        <v>516</v>
      </c>
      <c r="C311" s="186">
        <v>38932</v>
      </c>
      <c r="D311" s="188">
        <f t="shared" si="12"/>
        <v>2006</v>
      </c>
      <c r="E311" s="183" t="s">
        <v>531</v>
      </c>
      <c r="F311" s="178">
        <v>100</v>
      </c>
      <c r="G311" s="178">
        <v>2231</v>
      </c>
      <c r="H311" s="178">
        <v>984</v>
      </c>
      <c r="I311" s="178">
        <v>1247</v>
      </c>
      <c r="J311" s="32">
        <v>303</v>
      </c>
      <c r="K311" s="263">
        <f t="shared" si="13"/>
        <v>91809</v>
      </c>
    </row>
    <row r="312" spans="1:11">
      <c r="A312" s="179" t="s">
        <v>528</v>
      </c>
      <c r="B312" s="179" t="s">
        <v>516</v>
      </c>
      <c r="C312" s="186">
        <v>38935</v>
      </c>
      <c r="D312" s="188">
        <f t="shared" si="12"/>
        <v>2006</v>
      </c>
      <c r="E312" s="183" t="s">
        <v>533</v>
      </c>
      <c r="F312" s="178">
        <v>700</v>
      </c>
      <c r="G312" s="178">
        <v>15407</v>
      </c>
      <c r="H312" s="178">
        <v>6888</v>
      </c>
      <c r="I312" s="178">
        <v>8519</v>
      </c>
      <c r="J312" s="32">
        <v>304</v>
      </c>
      <c r="K312" s="263">
        <f t="shared" si="13"/>
        <v>92416</v>
      </c>
    </row>
    <row r="313" spans="1:11">
      <c r="A313" s="179" t="s">
        <v>429</v>
      </c>
      <c r="B313" s="179" t="s">
        <v>516</v>
      </c>
      <c r="C313" s="186">
        <v>38935</v>
      </c>
      <c r="D313" s="188">
        <f t="shared" si="12"/>
        <v>2006</v>
      </c>
      <c r="E313" s="183" t="s">
        <v>532</v>
      </c>
      <c r="F313" s="178">
        <v>500</v>
      </c>
      <c r="G313" s="178">
        <v>11235</v>
      </c>
      <c r="H313" s="178">
        <v>4920</v>
      </c>
      <c r="I313" s="178">
        <v>6315</v>
      </c>
      <c r="J313" s="32">
        <v>305</v>
      </c>
      <c r="K313" s="263">
        <f t="shared" si="13"/>
        <v>93025</v>
      </c>
    </row>
    <row r="314" spans="1:11">
      <c r="A314" s="179" t="s">
        <v>528</v>
      </c>
      <c r="B314" s="179" t="s">
        <v>516</v>
      </c>
      <c r="C314" s="186">
        <v>38936</v>
      </c>
      <c r="D314" s="188">
        <f t="shared" si="12"/>
        <v>2006</v>
      </c>
      <c r="E314" s="183" t="s">
        <v>532</v>
      </c>
      <c r="F314" s="178">
        <v>1000</v>
      </c>
      <c r="G314" s="178">
        <v>23080</v>
      </c>
      <c r="H314" s="178">
        <v>9840</v>
      </c>
      <c r="I314" s="178">
        <v>13240</v>
      </c>
      <c r="J314" s="32">
        <v>306</v>
      </c>
      <c r="K314" s="263">
        <f t="shared" si="13"/>
        <v>93636</v>
      </c>
    </row>
    <row r="315" spans="1:11">
      <c r="A315" s="179" t="s">
        <v>528</v>
      </c>
      <c r="B315" s="179" t="s">
        <v>516</v>
      </c>
      <c r="C315" s="186">
        <v>38942</v>
      </c>
      <c r="D315" s="188">
        <f t="shared" si="12"/>
        <v>2006</v>
      </c>
      <c r="E315" s="183" t="s">
        <v>539</v>
      </c>
      <c r="F315" s="178">
        <v>500</v>
      </c>
      <c r="G315" s="178">
        <v>11550</v>
      </c>
      <c r="H315" s="178">
        <v>4920</v>
      </c>
      <c r="I315" s="178">
        <v>6630</v>
      </c>
      <c r="J315" s="32">
        <v>307</v>
      </c>
      <c r="K315" s="263">
        <f t="shared" si="13"/>
        <v>94249</v>
      </c>
    </row>
    <row r="316" spans="1:11">
      <c r="A316" s="179" t="s">
        <v>528</v>
      </c>
      <c r="B316" s="179" t="s">
        <v>517</v>
      </c>
      <c r="C316" s="186">
        <v>38945</v>
      </c>
      <c r="D316" s="188">
        <f t="shared" si="12"/>
        <v>2006</v>
      </c>
      <c r="E316" s="183" t="s">
        <v>534</v>
      </c>
      <c r="F316" s="178">
        <v>500</v>
      </c>
      <c r="G316" s="178">
        <v>10330</v>
      </c>
      <c r="H316" s="178">
        <v>4235</v>
      </c>
      <c r="I316" s="178">
        <v>6095</v>
      </c>
      <c r="J316" s="32">
        <v>308</v>
      </c>
      <c r="K316" s="263">
        <f t="shared" si="13"/>
        <v>94864</v>
      </c>
    </row>
    <row r="317" spans="1:11">
      <c r="A317" s="179" t="s">
        <v>528</v>
      </c>
      <c r="B317" s="179" t="s">
        <v>517</v>
      </c>
      <c r="C317" s="186">
        <v>38952</v>
      </c>
      <c r="D317" s="188">
        <f t="shared" si="12"/>
        <v>2006</v>
      </c>
      <c r="E317" s="183" t="s">
        <v>530</v>
      </c>
      <c r="F317" s="178">
        <v>400</v>
      </c>
      <c r="G317" s="178">
        <v>8016</v>
      </c>
      <c r="H317" s="178">
        <v>3388</v>
      </c>
      <c r="I317" s="178">
        <v>4628</v>
      </c>
      <c r="J317" s="32">
        <v>309</v>
      </c>
      <c r="K317" s="263">
        <f t="shared" si="13"/>
        <v>95481</v>
      </c>
    </row>
    <row r="318" spans="1:11">
      <c r="A318" s="179" t="s">
        <v>423</v>
      </c>
      <c r="B318" s="179" t="s">
        <v>518</v>
      </c>
      <c r="C318" s="186">
        <v>38952</v>
      </c>
      <c r="D318" s="188">
        <f t="shared" si="12"/>
        <v>2006</v>
      </c>
      <c r="E318" s="183" t="s">
        <v>531</v>
      </c>
      <c r="F318" s="178">
        <v>200</v>
      </c>
      <c r="G318" s="178">
        <v>4388</v>
      </c>
      <c r="H318" s="178">
        <v>2044</v>
      </c>
      <c r="I318" s="178">
        <v>2344</v>
      </c>
      <c r="J318" s="32">
        <v>310</v>
      </c>
      <c r="K318" s="263">
        <f t="shared" si="13"/>
        <v>96100</v>
      </c>
    </row>
    <row r="319" spans="1:11">
      <c r="A319" s="179" t="s">
        <v>429</v>
      </c>
      <c r="B319" s="179" t="s">
        <v>516</v>
      </c>
      <c r="C319" s="186">
        <v>38952</v>
      </c>
      <c r="D319" s="188">
        <f t="shared" si="12"/>
        <v>2006</v>
      </c>
      <c r="E319" s="183" t="s">
        <v>529</v>
      </c>
      <c r="F319" s="178">
        <v>200</v>
      </c>
      <c r="G319" s="178">
        <v>4742</v>
      </c>
      <c r="H319" s="178">
        <v>1968</v>
      </c>
      <c r="I319" s="178">
        <v>2774</v>
      </c>
      <c r="J319" s="32">
        <v>311</v>
      </c>
      <c r="K319" s="263">
        <f t="shared" si="13"/>
        <v>96721</v>
      </c>
    </row>
    <row r="320" spans="1:11">
      <c r="A320" s="179" t="s">
        <v>429</v>
      </c>
      <c r="B320" s="179" t="s">
        <v>517</v>
      </c>
      <c r="C320" s="186">
        <v>38958</v>
      </c>
      <c r="D320" s="188">
        <f t="shared" si="12"/>
        <v>2006</v>
      </c>
      <c r="E320" s="183" t="s">
        <v>524</v>
      </c>
      <c r="F320" s="178">
        <v>1000</v>
      </c>
      <c r="G320" s="178">
        <v>19630</v>
      </c>
      <c r="H320" s="178">
        <v>8470</v>
      </c>
      <c r="I320" s="178">
        <v>11160</v>
      </c>
      <c r="J320" s="32">
        <v>312</v>
      </c>
      <c r="K320" s="263">
        <f t="shared" si="13"/>
        <v>97344</v>
      </c>
    </row>
    <row r="321" spans="1:11">
      <c r="A321" s="179" t="s">
        <v>423</v>
      </c>
      <c r="B321" s="179" t="s">
        <v>518</v>
      </c>
      <c r="C321" s="186">
        <v>38959</v>
      </c>
      <c r="D321" s="188">
        <f t="shared" si="12"/>
        <v>2006</v>
      </c>
      <c r="E321" s="183" t="s">
        <v>549</v>
      </c>
      <c r="F321" s="178">
        <v>300</v>
      </c>
      <c r="G321" s="178">
        <v>7032</v>
      </c>
      <c r="H321" s="178">
        <v>3066</v>
      </c>
      <c r="I321" s="178">
        <v>3966</v>
      </c>
      <c r="J321" s="32">
        <v>313</v>
      </c>
      <c r="K321" s="263">
        <f t="shared" si="13"/>
        <v>97969</v>
      </c>
    </row>
    <row r="322" spans="1:11">
      <c r="A322" s="179" t="s">
        <v>528</v>
      </c>
      <c r="B322" s="179" t="s">
        <v>516</v>
      </c>
      <c r="C322" s="186">
        <v>38963</v>
      </c>
      <c r="D322" s="188">
        <f t="shared" si="12"/>
        <v>2006</v>
      </c>
      <c r="E322" s="183" t="s">
        <v>530</v>
      </c>
      <c r="F322" s="178">
        <v>1000</v>
      </c>
      <c r="G322" s="178">
        <v>21800</v>
      </c>
      <c r="H322" s="178">
        <v>9840</v>
      </c>
      <c r="I322" s="178">
        <v>11960</v>
      </c>
      <c r="J322" s="32">
        <v>314</v>
      </c>
      <c r="K322" s="263">
        <f t="shared" si="13"/>
        <v>98596</v>
      </c>
    </row>
    <row r="323" spans="1:11">
      <c r="A323" s="179" t="s">
        <v>423</v>
      </c>
      <c r="B323" s="179" t="s">
        <v>516</v>
      </c>
      <c r="C323" s="186">
        <v>38964</v>
      </c>
      <c r="D323" s="188">
        <f t="shared" si="12"/>
        <v>2006</v>
      </c>
      <c r="E323" s="183" t="s">
        <v>537</v>
      </c>
      <c r="F323" s="178">
        <v>300</v>
      </c>
      <c r="G323" s="178">
        <v>6156</v>
      </c>
      <c r="H323" s="178">
        <v>2952</v>
      </c>
      <c r="I323" s="178">
        <v>3204</v>
      </c>
      <c r="J323" s="32">
        <v>315</v>
      </c>
      <c r="K323" s="263">
        <f t="shared" si="13"/>
        <v>99225</v>
      </c>
    </row>
    <row r="324" spans="1:11">
      <c r="A324" s="179" t="s">
        <v>429</v>
      </c>
      <c r="B324" s="179" t="s">
        <v>516</v>
      </c>
      <c r="C324" s="186">
        <v>38964</v>
      </c>
      <c r="D324" s="188">
        <f t="shared" si="12"/>
        <v>2006</v>
      </c>
      <c r="E324" s="183" t="s">
        <v>540</v>
      </c>
      <c r="F324" s="178">
        <v>200</v>
      </c>
      <c r="G324" s="178">
        <v>4282</v>
      </c>
      <c r="H324" s="178">
        <v>1968</v>
      </c>
      <c r="I324" s="178">
        <v>2314</v>
      </c>
      <c r="J324" s="32">
        <v>316</v>
      </c>
      <c r="K324" s="263">
        <f t="shared" si="13"/>
        <v>99856</v>
      </c>
    </row>
    <row r="325" spans="1:11">
      <c r="A325" s="179" t="s">
        <v>528</v>
      </c>
      <c r="B325" s="179" t="s">
        <v>516</v>
      </c>
      <c r="C325" s="186">
        <v>38965</v>
      </c>
      <c r="D325" s="188">
        <f t="shared" si="12"/>
        <v>2006</v>
      </c>
      <c r="E325" s="183" t="s">
        <v>543</v>
      </c>
      <c r="F325" s="178">
        <v>800</v>
      </c>
      <c r="G325" s="178">
        <v>19520</v>
      </c>
      <c r="H325" s="178">
        <v>7872</v>
      </c>
      <c r="I325" s="178">
        <v>11648</v>
      </c>
      <c r="J325" s="32">
        <v>317</v>
      </c>
      <c r="K325" s="263">
        <f t="shared" si="13"/>
        <v>100489</v>
      </c>
    </row>
    <row r="326" spans="1:11">
      <c r="A326" s="179" t="s">
        <v>528</v>
      </c>
      <c r="B326" s="179" t="s">
        <v>518</v>
      </c>
      <c r="C326" s="186">
        <v>38965</v>
      </c>
      <c r="D326" s="188">
        <f t="shared" si="12"/>
        <v>2006</v>
      </c>
      <c r="E326" s="183" t="s">
        <v>532</v>
      </c>
      <c r="F326" s="178">
        <v>700</v>
      </c>
      <c r="G326" s="178">
        <v>15834</v>
      </c>
      <c r="H326" s="178">
        <v>7154</v>
      </c>
      <c r="I326" s="178">
        <v>8680</v>
      </c>
      <c r="J326" s="32">
        <v>318</v>
      </c>
      <c r="K326" s="263">
        <f t="shared" si="13"/>
        <v>101124</v>
      </c>
    </row>
    <row r="327" spans="1:11">
      <c r="A327" s="179" t="s">
        <v>528</v>
      </c>
      <c r="B327" s="179" t="s">
        <v>516</v>
      </c>
      <c r="C327" s="186">
        <v>38966</v>
      </c>
      <c r="D327" s="188">
        <f t="shared" si="12"/>
        <v>2006</v>
      </c>
      <c r="E327" s="183" t="s">
        <v>532</v>
      </c>
      <c r="F327" s="178">
        <v>900</v>
      </c>
      <c r="G327" s="178">
        <v>19503</v>
      </c>
      <c r="H327" s="178">
        <v>8856</v>
      </c>
      <c r="I327" s="178">
        <v>10647</v>
      </c>
      <c r="J327" s="32">
        <v>319</v>
      </c>
      <c r="K327" s="263">
        <f t="shared" si="13"/>
        <v>101761</v>
      </c>
    </row>
    <row r="328" spans="1:11">
      <c r="A328" s="179" t="s">
        <v>528</v>
      </c>
      <c r="B328" s="179" t="s">
        <v>518</v>
      </c>
      <c r="C328" s="186">
        <v>38969</v>
      </c>
      <c r="D328" s="188">
        <f t="shared" si="12"/>
        <v>2006</v>
      </c>
      <c r="E328" s="183" t="s">
        <v>540</v>
      </c>
      <c r="F328" s="178">
        <v>400</v>
      </c>
      <c r="G328" s="178">
        <v>8876</v>
      </c>
      <c r="H328" s="178">
        <v>4088</v>
      </c>
      <c r="I328" s="178">
        <v>4788</v>
      </c>
      <c r="J328" s="32">
        <v>320</v>
      </c>
      <c r="K328" s="263">
        <f t="shared" si="13"/>
        <v>102400</v>
      </c>
    </row>
    <row r="329" spans="1:11">
      <c r="A329" s="179" t="s">
        <v>528</v>
      </c>
      <c r="B329" s="179" t="s">
        <v>516</v>
      </c>
      <c r="C329" s="186">
        <v>38976</v>
      </c>
      <c r="D329" s="188">
        <f t="shared" ref="D329:D392" si="14">YEAR(C329)</f>
        <v>2006</v>
      </c>
      <c r="E329" s="183" t="s">
        <v>527</v>
      </c>
      <c r="F329" s="178">
        <v>200</v>
      </c>
      <c r="G329" s="178">
        <v>4060</v>
      </c>
      <c r="H329" s="178">
        <v>1968</v>
      </c>
      <c r="I329" s="178">
        <v>2092</v>
      </c>
      <c r="J329" s="32">
        <v>321</v>
      </c>
      <c r="K329" s="263">
        <f t="shared" si="13"/>
        <v>103041</v>
      </c>
    </row>
    <row r="330" spans="1:11">
      <c r="A330" s="179" t="s">
        <v>528</v>
      </c>
      <c r="B330" s="179" t="s">
        <v>518</v>
      </c>
      <c r="C330" s="186">
        <v>38976</v>
      </c>
      <c r="D330" s="188">
        <f t="shared" si="14"/>
        <v>2006</v>
      </c>
      <c r="E330" s="183" t="s">
        <v>546</v>
      </c>
      <c r="F330" s="178">
        <v>200</v>
      </c>
      <c r="G330" s="178">
        <v>4948</v>
      </c>
      <c r="H330" s="178">
        <v>2044</v>
      </c>
      <c r="I330" s="178">
        <v>2904</v>
      </c>
      <c r="J330" s="32">
        <v>322</v>
      </c>
      <c r="K330" s="263">
        <f t="shared" ref="K330:K393" si="15">J330*J330</f>
        <v>103684</v>
      </c>
    </row>
    <row r="331" spans="1:11">
      <c r="A331" s="179" t="s">
        <v>528</v>
      </c>
      <c r="B331" s="179" t="s">
        <v>517</v>
      </c>
      <c r="C331" s="186">
        <v>38976</v>
      </c>
      <c r="D331" s="188">
        <f t="shared" si="14"/>
        <v>2006</v>
      </c>
      <c r="E331" s="183" t="s">
        <v>532</v>
      </c>
      <c r="F331" s="178">
        <v>300</v>
      </c>
      <c r="G331" s="178">
        <v>5355</v>
      </c>
      <c r="H331" s="178">
        <v>2541</v>
      </c>
      <c r="I331" s="178">
        <v>2814</v>
      </c>
      <c r="J331" s="32">
        <v>323</v>
      </c>
      <c r="K331" s="263">
        <f t="shared" si="15"/>
        <v>104329</v>
      </c>
    </row>
    <row r="332" spans="1:11">
      <c r="A332" s="179" t="s">
        <v>429</v>
      </c>
      <c r="B332" s="179" t="s">
        <v>516</v>
      </c>
      <c r="C332" s="186">
        <v>38979</v>
      </c>
      <c r="D332" s="188">
        <f t="shared" si="14"/>
        <v>2006</v>
      </c>
      <c r="E332" s="183" t="s">
        <v>523</v>
      </c>
      <c r="F332" s="178">
        <v>200</v>
      </c>
      <c r="G332" s="178">
        <v>4866</v>
      </c>
      <c r="H332" s="178">
        <v>1968</v>
      </c>
      <c r="I332" s="178">
        <v>2898</v>
      </c>
      <c r="J332" s="32">
        <v>324</v>
      </c>
      <c r="K332" s="263">
        <f t="shared" si="15"/>
        <v>104976</v>
      </c>
    </row>
    <row r="333" spans="1:11">
      <c r="A333" s="179" t="s">
        <v>429</v>
      </c>
      <c r="B333" s="179" t="s">
        <v>517</v>
      </c>
      <c r="C333" s="186">
        <v>38982</v>
      </c>
      <c r="D333" s="188">
        <f t="shared" si="14"/>
        <v>2006</v>
      </c>
      <c r="E333" s="183" t="s">
        <v>537</v>
      </c>
      <c r="F333" s="178">
        <v>500</v>
      </c>
      <c r="G333" s="178">
        <v>9155</v>
      </c>
      <c r="H333" s="178">
        <v>4235</v>
      </c>
      <c r="I333" s="178">
        <v>4920</v>
      </c>
      <c r="J333" s="32">
        <v>325</v>
      </c>
      <c r="K333" s="263">
        <f t="shared" si="15"/>
        <v>105625</v>
      </c>
    </row>
    <row r="334" spans="1:11">
      <c r="A334" s="179" t="s">
        <v>528</v>
      </c>
      <c r="B334" s="179" t="s">
        <v>517</v>
      </c>
      <c r="C334" s="186">
        <v>38984</v>
      </c>
      <c r="D334" s="188">
        <f t="shared" si="14"/>
        <v>2006</v>
      </c>
      <c r="E334" s="183" t="s">
        <v>525</v>
      </c>
      <c r="F334" s="178">
        <v>500</v>
      </c>
      <c r="G334" s="178">
        <v>9350</v>
      </c>
      <c r="H334" s="178">
        <v>4235</v>
      </c>
      <c r="I334" s="178">
        <v>5115</v>
      </c>
      <c r="J334" s="32">
        <v>326</v>
      </c>
      <c r="K334" s="263">
        <f t="shared" si="15"/>
        <v>106276</v>
      </c>
    </row>
    <row r="335" spans="1:11">
      <c r="A335" s="179" t="s">
        <v>528</v>
      </c>
      <c r="B335" s="179" t="s">
        <v>517</v>
      </c>
      <c r="C335" s="186">
        <v>38986</v>
      </c>
      <c r="D335" s="188">
        <f t="shared" si="14"/>
        <v>2006</v>
      </c>
      <c r="E335" s="183" t="s">
        <v>533</v>
      </c>
      <c r="F335" s="178">
        <v>700</v>
      </c>
      <c r="G335" s="178">
        <v>13986</v>
      </c>
      <c r="H335" s="178">
        <v>5929</v>
      </c>
      <c r="I335" s="178">
        <v>8057</v>
      </c>
      <c r="J335" s="32">
        <v>327</v>
      </c>
      <c r="K335" s="263">
        <f t="shared" si="15"/>
        <v>106929</v>
      </c>
    </row>
    <row r="336" spans="1:11">
      <c r="A336" s="179" t="s">
        <v>429</v>
      </c>
      <c r="B336" s="179" t="s">
        <v>517</v>
      </c>
      <c r="C336" s="186">
        <v>38986</v>
      </c>
      <c r="D336" s="188">
        <f t="shared" si="14"/>
        <v>2006</v>
      </c>
      <c r="E336" s="183" t="s">
        <v>534</v>
      </c>
      <c r="F336" s="178">
        <v>400</v>
      </c>
      <c r="G336" s="178">
        <v>8128</v>
      </c>
      <c r="H336" s="178">
        <v>3388</v>
      </c>
      <c r="I336" s="178">
        <v>4740</v>
      </c>
      <c r="J336" s="32">
        <v>328</v>
      </c>
      <c r="K336" s="263">
        <f t="shared" si="15"/>
        <v>107584</v>
      </c>
    </row>
    <row r="337" spans="1:11">
      <c r="A337" s="179" t="s">
        <v>429</v>
      </c>
      <c r="B337" s="179" t="s">
        <v>518</v>
      </c>
      <c r="C337" s="186">
        <v>38987</v>
      </c>
      <c r="D337" s="188">
        <f t="shared" si="14"/>
        <v>2006</v>
      </c>
      <c r="E337" s="183" t="s">
        <v>547</v>
      </c>
      <c r="F337" s="178">
        <v>1000</v>
      </c>
      <c r="G337" s="178">
        <v>24420</v>
      </c>
      <c r="H337" s="178">
        <v>10220</v>
      </c>
      <c r="I337" s="178">
        <v>14200</v>
      </c>
      <c r="J337" s="32">
        <v>329</v>
      </c>
      <c r="K337" s="263">
        <f t="shared" si="15"/>
        <v>108241</v>
      </c>
    </row>
    <row r="338" spans="1:11">
      <c r="A338" s="179" t="s">
        <v>429</v>
      </c>
      <c r="B338" s="179" t="s">
        <v>516</v>
      </c>
      <c r="C338" s="186">
        <v>38989</v>
      </c>
      <c r="D338" s="188">
        <f t="shared" si="14"/>
        <v>2006</v>
      </c>
      <c r="E338" s="183" t="s">
        <v>530</v>
      </c>
      <c r="F338" s="178">
        <v>400</v>
      </c>
      <c r="G338" s="178">
        <v>8204</v>
      </c>
      <c r="H338" s="178">
        <v>3936</v>
      </c>
      <c r="I338" s="178">
        <v>4268</v>
      </c>
      <c r="J338" s="32">
        <v>330</v>
      </c>
      <c r="K338" s="263">
        <f t="shared" si="15"/>
        <v>108900</v>
      </c>
    </row>
    <row r="339" spans="1:11">
      <c r="A339" s="179" t="s">
        <v>528</v>
      </c>
      <c r="B339" s="179" t="s">
        <v>517</v>
      </c>
      <c r="C339" s="186">
        <v>38990</v>
      </c>
      <c r="D339" s="188">
        <f t="shared" si="14"/>
        <v>2006</v>
      </c>
      <c r="E339" s="183" t="s">
        <v>532</v>
      </c>
      <c r="F339" s="178">
        <v>400</v>
      </c>
      <c r="G339" s="178">
        <v>7180</v>
      </c>
      <c r="H339" s="178">
        <v>3388</v>
      </c>
      <c r="I339" s="178">
        <v>3792</v>
      </c>
      <c r="J339" s="32">
        <v>331</v>
      </c>
      <c r="K339" s="263">
        <f t="shared" si="15"/>
        <v>109561</v>
      </c>
    </row>
    <row r="340" spans="1:11">
      <c r="A340" s="179" t="s">
        <v>423</v>
      </c>
      <c r="B340" s="179" t="s">
        <v>518</v>
      </c>
      <c r="C340" s="186">
        <v>38991</v>
      </c>
      <c r="D340" s="188">
        <f t="shared" si="14"/>
        <v>2006</v>
      </c>
      <c r="E340" s="183" t="s">
        <v>533</v>
      </c>
      <c r="F340" s="178">
        <v>900</v>
      </c>
      <c r="G340" s="178">
        <v>22887</v>
      </c>
      <c r="H340" s="178">
        <v>9198</v>
      </c>
      <c r="I340" s="178">
        <v>13689</v>
      </c>
      <c r="J340" s="32">
        <v>332</v>
      </c>
      <c r="K340" s="263">
        <f t="shared" si="15"/>
        <v>110224</v>
      </c>
    </row>
    <row r="341" spans="1:11">
      <c r="A341" s="179" t="s">
        <v>528</v>
      </c>
      <c r="B341" s="179" t="s">
        <v>517</v>
      </c>
      <c r="C341" s="186">
        <v>38992</v>
      </c>
      <c r="D341" s="188">
        <f t="shared" si="14"/>
        <v>2006</v>
      </c>
      <c r="E341" s="183" t="s">
        <v>537</v>
      </c>
      <c r="F341" s="178">
        <v>500</v>
      </c>
      <c r="G341" s="178">
        <v>8715</v>
      </c>
      <c r="H341" s="178">
        <v>4235</v>
      </c>
      <c r="I341" s="178">
        <v>4480</v>
      </c>
      <c r="J341" s="32">
        <v>333</v>
      </c>
      <c r="K341" s="263">
        <f t="shared" si="15"/>
        <v>110889</v>
      </c>
    </row>
    <row r="342" spans="1:11">
      <c r="A342" s="179" t="s">
        <v>528</v>
      </c>
      <c r="B342" s="179" t="s">
        <v>517</v>
      </c>
      <c r="C342" s="186">
        <v>38994</v>
      </c>
      <c r="D342" s="188">
        <f t="shared" si="14"/>
        <v>2006</v>
      </c>
      <c r="E342" s="183" t="s">
        <v>533</v>
      </c>
      <c r="F342" s="178">
        <v>300</v>
      </c>
      <c r="G342" s="178">
        <v>5157</v>
      </c>
      <c r="H342" s="178">
        <v>2541</v>
      </c>
      <c r="I342" s="178">
        <v>2616</v>
      </c>
      <c r="J342" s="32">
        <v>334</v>
      </c>
      <c r="K342" s="263">
        <f t="shared" si="15"/>
        <v>111556</v>
      </c>
    </row>
    <row r="343" spans="1:11">
      <c r="A343" s="179" t="s">
        <v>429</v>
      </c>
      <c r="B343" s="179" t="s">
        <v>518</v>
      </c>
      <c r="C343" s="186">
        <v>38994</v>
      </c>
      <c r="D343" s="188">
        <f t="shared" si="14"/>
        <v>2006</v>
      </c>
      <c r="E343" s="183" t="s">
        <v>532</v>
      </c>
      <c r="F343" s="178">
        <v>400</v>
      </c>
      <c r="G343" s="178">
        <v>8580</v>
      </c>
      <c r="H343" s="178">
        <v>4088</v>
      </c>
      <c r="I343" s="178">
        <v>4492</v>
      </c>
      <c r="J343" s="32">
        <v>335</v>
      </c>
      <c r="K343" s="263">
        <f t="shared" si="15"/>
        <v>112225</v>
      </c>
    </row>
    <row r="344" spans="1:11">
      <c r="A344" s="179" t="s">
        <v>423</v>
      </c>
      <c r="B344" s="179" t="s">
        <v>516</v>
      </c>
      <c r="C344" s="186">
        <v>38997</v>
      </c>
      <c r="D344" s="188">
        <f t="shared" si="14"/>
        <v>2006</v>
      </c>
      <c r="E344" s="183" t="s">
        <v>537</v>
      </c>
      <c r="F344" s="178">
        <v>400</v>
      </c>
      <c r="G344" s="178">
        <v>8052</v>
      </c>
      <c r="H344" s="178">
        <v>3936</v>
      </c>
      <c r="I344" s="178">
        <v>4116</v>
      </c>
      <c r="J344" s="32">
        <v>336</v>
      </c>
      <c r="K344" s="263">
        <f t="shared" si="15"/>
        <v>112896</v>
      </c>
    </row>
    <row r="345" spans="1:11">
      <c r="A345" s="179" t="s">
        <v>429</v>
      </c>
      <c r="B345" s="179" t="s">
        <v>518</v>
      </c>
      <c r="C345" s="186">
        <v>38999</v>
      </c>
      <c r="D345" s="188">
        <f t="shared" si="14"/>
        <v>2006</v>
      </c>
      <c r="E345" s="183" t="s">
        <v>534</v>
      </c>
      <c r="F345" s="178">
        <v>300</v>
      </c>
      <c r="G345" s="178">
        <v>6744</v>
      </c>
      <c r="H345" s="178">
        <v>3066</v>
      </c>
      <c r="I345" s="178">
        <v>3678</v>
      </c>
      <c r="J345" s="32">
        <v>337</v>
      </c>
      <c r="K345" s="263">
        <f t="shared" si="15"/>
        <v>113569</v>
      </c>
    </row>
    <row r="346" spans="1:11">
      <c r="A346" s="179" t="s">
        <v>528</v>
      </c>
      <c r="B346" s="179" t="s">
        <v>517</v>
      </c>
      <c r="C346" s="186">
        <v>39000</v>
      </c>
      <c r="D346" s="188">
        <f t="shared" si="14"/>
        <v>2006</v>
      </c>
      <c r="E346" s="183" t="s">
        <v>533</v>
      </c>
      <c r="F346" s="178">
        <v>300</v>
      </c>
      <c r="G346" s="178">
        <v>5358</v>
      </c>
      <c r="H346" s="178">
        <v>2541</v>
      </c>
      <c r="I346" s="178">
        <v>2817</v>
      </c>
      <c r="J346" s="32">
        <v>338</v>
      </c>
      <c r="K346" s="263">
        <f t="shared" si="15"/>
        <v>114244</v>
      </c>
    </row>
    <row r="347" spans="1:11">
      <c r="A347" s="179" t="s">
        <v>429</v>
      </c>
      <c r="B347" s="179" t="s">
        <v>516</v>
      </c>
      <c r="C347" s="186">
        <v>39004</v>
      </c>
      <c r="D347" s="188">
        <f t="shared" si="14"/>
        <v>2006</v>
      </c>
      <c r="E347" s="183" t="s">
        <v>550</v>
      </c>
      <c r="F347" s="178">
        <v>800</v>
      </c>
      <c r="G347" s="178">
        <v>18552</v>
      </c>
      <c r="H347" s="178">
        <v>7872</v>
      </c>
      <c r="I347" s="178">
        <v>10680</v>
      </c>
      <c r="J347" s="32">
        <v>339</v>
      </c>
      <c r="K347" s="263">
        <f t="shared" si="15"/>
        <v>114921</v>
      </c>
    </row>
    <row r="348" spans="1:11">
      <c r="A348" s="179" t="s">
        <v>528</v>
      </c>
      <c r="B348" s="179" t="s">
        <v>516</v>
      </c>
      <c r="C348" s="186">
        <v>39006</v>
      </c>
      <c r="D348" s="188">
        <f t="shared" si="14"/>
        <v>2006</v>
      </c>
      <c r="E348" s="183" t="s">
        <v>547</v>
      </c>
      <c r="F348" s="178">
        <v>1000</v>
      </c>
      <c r="G348" s="178">
        <v>22140</v>
      </c>
      <c r="H348" s="178">
        <v>9840</v>
      </c>
      <c r="I348" s="178">
        <v>12300</v>
      </c>
      <c r="J348" s="32">
        <v>340</v>
      </c>
      <c r="K348" s="263">
        <f t="shared" si="15"/>
        <v>115600</v>
      </c>
    </row>
    <row r="349" spans="1:11">
      <c r="A349" s="179" t="s">
        <v>429</v>
      </c>
      <c r="B349" s="179" t="s">
        <v>517</v>
      </c>
      <c r="C349" s="186">
        <v>39007</v>
      </c>
      <c r="D349" s="188">
        <f t="shared" si="14"/>
        <v>2006</v>
      </c>
      <c r="E349" s="183" t="s">
        <v>525</v>
      </c>
      <c r="F349" s="178">
        <v>800</v>
      </c>
      <c r="G349" s="178">
        <v>15592</v>
      </c>
      <c r="H349" s="178">
        <v>6776</v>
      </c>
      <c r="I349" s="178">
        <v>8816</v>
      </c>
      <c r="J349" s="32">
        <v>341</v>
      </c>
      <c r="K349" s="263">
        <f t="shared" si="15"/>
        <v>116281</v>
      </c>
    </row>
    <row r="350" spans="1:11">
      <c r="A350" s="179" t="s">
        <v>429</v>
      </c>
      <c r="B350" s="179" t="s">
        <v>517</v>
      </c>
      <c r="C350" s="186">
        <v>39008</v>
      </c>
      <c r="D350" s="188">
        <f t="shared" si="14"/>
        <v>2006</v>
      </c>
      <c r="E350" s="183" t="s">
        <v>529</v>
      </c>
      <c r="F350" s="178">
        <v>100</v>
      </c>
      <c r="G350" s="178">
        <v>1982</v>
      </c>
      <c r="H350" s="178">
        <v>847</v>
      </c>
      <c r="I350" s="178">
        <v>1135</v>
      </c>
      <c r="J350" s="32">
        <v>342</v>
      </c>
      <c r="K350" s="263">
        <f t="shared" si="15"/>
        <v>116964</v>
      </c>
    </row>
    <row r="351" spans="1:11">
      <c r="A351" s="179" t="s">
        <v>423</v>
      </c>
      <c r="B351" s="179" t="s">
        <v>517</v>
      </c>
      <c r="C351" s="186">
        <v>39010</v>
      </c>
      <c r="D351" s="188">
        <f t="shared" si="14"/>
        <v>2006</v>
      </c>
      <c r="E351" s="183" t="s">
        <v>523</v>
      </c>
      <c r="F351" s="178">
        <v>300</v>
      </c>
      <c r="G351" s="178">
        <v>6063</v>
      </c>
      <c r="H351" s="178">
        <v>2541</v>
      </c>
      <c r="I351" s="178">
        <v>3522</v>
      </c>
      <c r="J351" s="32">
        <v>343</v>
      </c>
      <c r="K351" s="263">
        <f t="shared" si="15"/>
        <v>117649</v>
      </c>
    </row>
    <row r="352" spans="1:11">
      <c r="A352" s="179" t="s">
        <v>528</v>
      </c>
      <c r="B352" s="179" t="s">
        <v>518</v>
      </c>
      <c r="C352" s="186">
        <v>39011</v>
      </c>
      <c r="D352" s="188">
        <f t="shared" si="14"/>
        <v>2006</v>
      </c>
      <c r="E352" s="183" t="s">
        <v>533</v>
      </c>
      <c r="F352" s="178">
        <v>300</v>
      </c>
      <c r="G352" s="178">
        <v>6660</v>
      </c>
      <c r="H352" s="178">
        <v>3066</v>
      </c>
      <c r="I352" s="178">
        <v>3594</v>
      </c>
      <c r="J352" s="32">
        <v>344</v>
      </c>
      <c r="K352" s="263">
        <f t="shared" si="15"/>
        <v>118336</v>
      </c>
    </row>
    <row r="353" spans="1:11">
      <c r="A353" s="179" t="s">
        <v>528</v>
      </c>
      <c r="B353" s="179" t="s">
        <v>517</v>
      </c>
      <c r="C353" s="186">
        <v>39015</v>
      </c>
      <c r="D353" s="188">
        <f t="shared" si="14"/>
        <v>2006</v>
      </c>
      <c r="E353" s="183" t="s">
        <v>533</v>
      </c>
      <c r="F353" s="178">
        <v>600</v>
      </c>
      <c r="G353" s="178">
        <v>11700</v>
      </c>
      <c r="H353" s="178">
        <v>5082</v>
      </c>
      <c r="I353" s="178">
        <v>6618</v>
      </c>
      <c r="J353" s="32">
        <v>345</v>
      </c>
      <c r="K353" s="263">
        <f t="shared" si="15"/>
        <v>119025</v>
      </c>
    </row>
    <row r="354" spans="1:11">
      <c r="A354" s="179" t="s">
        <v>429</v>
      </c>
      <c r="B354" s="179" t="s">
        <v>518</v>
      </c>
      <c r="C354" s="186">
        <v>39017</v>
      </c>
      <c r="D354" s="188">
        <f t="shared" si="14"/>
        <v>2006</v>
      </c>
      <c r="E354" s="183" t="s">
        <v>531</v>
      </c>
      <c r="F354" s="178">
        <v>500</v>
      </c>
      <c r="G354" s="178">
        <v>12425</v>
      </c>
      <c r="H354" s="178">
        <v>5110</v>
      </c>
      <c r="I354" s="178">
        <v>7315</v>
      </c>
      <c r="J354" s="32">
        <v>346</v>
      </c>
      <c r="K354" s="263">
        <f t="shared" si="15"/>
        <v>119716</v>
      </c>
    </row>
    <row r="355" spans="1:11">
      <c r="A355" s="179" t="s">
        <v>528</v>
      </c>
      <c r="B355" s="179" t="s">
        <v>516</v>
      </c>
      <c r="C355" s="186">
        <v>39024</v>
      </c>
      <c r="D355" s="188">
        <f t="shared" si="14"/>
        <v>2006</v>
      </c>
      <c r="E355" s="183" t="s">
        <v>529</v>
      </c>
      <c r="F355" s="178">
        <v>600</v>
      </c>
      <c r="G355" s="178">
        <v>12282</v>
      </c>
      <c r="H355" s="178">
        <v>5904</v>
      </c>
      <c r="I355" s="178">
        <v>6378</v>
      </c>
      <c r="J355" s="32">
        <v>347</v>
      </c>
      <c r="K355" s="263">
        <f t="shared" si="15"/>
        <v>120409</v>
      </c>
    </row>
    <row r="356" spans="1:11">
      <c r="A356" s="179" t="s">
        <v>429</v>
      </c>
      <c r="B356" s="179" t="s">
        <v>518</v>
      </c>
      <c r="C356" s="186">
        <v>39024</v>
      </c>
      <c r="D356" s="188">
        <f t="shared" si="14"/>
        <v>2006</v>
      </c>
      <c r="E356" s="183" t="s">
        <v>544</v>
      </c>
      <c r="F356" s="178">
        <v>400</v>
      </c>
      <c r="G356" s="178">
        <v>9152</v>
      </c>
      <c r="H356" s="178">
        <v>4088</v>
      </c>
      <c r="I356" s="178">
        <v>5064</v>
      </c>
      <c r="J356" s="32">
        <v>348</v>
      </c>
      <c r="K356" s="263">
        <f t="shared" si="15"/>
        <v>121104</v>
      </c>
    </row>
    <row r="357" spans="1:11">
      <c r="A357" s="179" t="s">
        <v>429</v>
      </c>
      <c r="B357" s="179" t="s">
        <v>516</v>
      </c>
      <c r="C357" s="186">
        <v>39025</v>
      </c>
      <c r="D357" s="188">
        <f t="shared" si="14"/>
        <v>2006</v>
      </c>
      <c r="E357" s="183" t="s">
        <v>534</v>
      </c>
      <c r="F357" s="178">
        <v>500</v>
      </c>
      <c r="G357" s="178">
        <v>11725</v>
      </c>
      <c r="H357" s="178">
        <v>4920</v>
      </c>
      <c r="I357" s="178">
        <v>6805</v>
      </c>
      <c r="J357" s="32">
        <v>349</v>
      </c>
      <c r="K357" s="263">
        <f t="shared" si="15"/>
        <v>121801</v>
      </c>
    </row>
    <row r="358" spans="1:11">
      <c r="A358" s="179" t="s">
        <v>528</v>
      </c>
      <c r="B358" s="179" t="s">
        <v>517</v>
      </c>
      <c r="C358" s="186">
        <v>39027</v>
      </c>
      <c r="D358" s="188">
        <f t="shared" si="14"/>
        <v>2006</v>
      </c>
      <c r="E358" s="183" t="s">
        <v>534</v>
      </c>
      <c r="F358" s="178">
        <v>100</v>
      </c>
      <c r="G358" s="178">
        <v>2111</v>
      </c>
      <c r="H358" s="178">
        <v>847</v>
      </c>
      <c r="I358" s="178">
        <v>1264</v>
      </c>
      <c r="J358" s="32">
        <v>350</v>
      </c>
      <c r="K358" s="263">
        <f t="shared" si="15"/>
        <v>122500</v>
      </c>
    </row>
    <row r="359" spans="1:11">
      <c r="A359" s="179" t="s">
        <v>423</v>
      </c>
      <c r="B359" s="179" t="s">
        <v>517</v>
      </c>
      <c r="C359" s="186">
        <v>39028</v>
      </c>
      <c r="D359" s="188">
        <f t="shared" si="14"/>
        <v>2006</v>
      </c>
      <c r="E359" s="183" t="s">
        <v>533</v>
      </c>
      <c r="F359" s="178">
        <v>200</v>
      </c>
      <c r="G359" s="178">
        <v>3876</v>
      </c>
      <c r="H359" s="178">
        <v>1694</v>
      </c>
      <c r="I359" s="178">
        <v>2182</v>
      </c>
      <c r="J359" s="32">
        <v>351</v>
      </c>
      <c r="K359" s="263">
        <f t="shared" si="15"/>
        <v>123201</v>
      </c>
    </row>
    <row r="360" spans="1:11">
      <c r="A360" s="179" t="s">
        <v>423</v>
      </c>
      <c r="B360" s="179" t="s">
        <v>516</v>
      </c>
      <c r="C360" s="186">
        <v>39029</v>
      </c>
      <c r="D360" s="188">
        <f t="shared" si="14"/>
        <v>2006</v>
      </c>
      <c r="E360" s="183" t="s">
        <v>530</v>
      </c>
      <c r="F360" s="178">
        <v>100</v>
      </c>
      <c r="G360" s="178">
        <v>2410</v>
      </c>
      <c r="H360" s="178">
        <v>984</v>
      </c>
      <c r="I360" s="178">
        <v>1426</v>
      </c>
      <c r="J360" s="32">
        <v>352</v>
      </c>
      <c r="K360" s="263">
        <f t="shared" si="15"/>
        <v>123904</v>
      </c>
    </row>
    <row r="361" spans="1:11">
      <c r="A361" s="179" t="s">
        <v>423</v>
      </c>
      <c r="B361" s="179" t="s">
        <v>517</v>
      </c>
      <c r="C361" s="186">
        <v>39030</v>
      </c>
      <c r="D361" s="188">
        <f t="shared" si="14"/>
        <v>2006</v>
      </c>
      <c r="E361" s="183" t="s">
        <v>531</v>
      </c>
      <c r="F361" s="178">
        <v>100</v>
      </c>
      <c r="G361" s="178">
        <v>1878</v>
      </c>
      <c r="H361" s="178">
        <v>847</v>
      </c>
      <c r="I361" s="178">
        <v>1031</v>
      </c>
      <c r="J361" s="32">
        <v>353</v>
      </c>
      <c r="K361" s="263">
        <f t="shared" si="15"/>
        <v>124609</v>
      </c>
    </row>
    <row r="362" spans="1:11">
      <c r="A362" s="179" t="s">
        <v>423</v>
      </c>
      <c r="B362" s="179" t="s">
        <v>518</v>
      </c>
      <c r="C362" s="186">
        <v>39033</v>
      </c>
      <c r="D362" s="188">
        <f t="shared" si="14"/>
        <v>2006</v>
      </c>
      <c r="E362" s="183" t="s">
        <v>524</v>
      </c>
      <c r="F362" s="178">
        <v>400</v>
      </c>
      <c r="G362" s="178">
        <v>8732</v>
      </c>
      <c r="H362" s="178">
        <v>4088</v>
      </c>
      <c r="I362" s="178">
        <v>4644</v>
      </c>
      <c r="J362" s="32">
        <v>354</v>
      </c>
      <c r="K362" s="263">
        <f t="shared" si="15"/>
        <v>125316</v>
      </c>
    </row>
    <row r="363" spans="1:11">
      <c r="A363" s="179" t="s">
        <v>423</v>
      </c>
      <c r="B363" s="179" t="s">
        <v>518</v>
      </c>
      <c r="C363" s="186">
        <v>39034</v>
      </c>
      <c r="D363" s="188">
        <f t="shared" si="14"/>
        <v>2006</v>
      </c>
      <c r="E363" s="183" t="s">
        <v>550</v>
      </c>
      <c r="F363" s="178">
        <v>800</v>
      </c>
      <c r="G363" s="178">
        <v>17728</v>
      </c>
      <c r="H363" s="178">
        <v>8176</v>
      </c>
      <c r="I363" s="178">
        <v>9552</v>
      </c>
      <c r="J363" s="32">
        <v>355</v>
      </c>
      <c r="K363" s="263">
        <f t="shared" si="15"/>
        <v>126025</v>
      </c>
    </row>
    <row r="364" spans="1:11">
      <c r="A364" s="179" t="s">
        <v>423</v>
      </c>
      <c r="B364" s="179" t="s">
        <v>518</v>
      </c>
      <c r="C364" s="186">
        <v>39034</v>
      </c>
      <c r="D364" s="188">
        <f t="shared" si="14"/>
        <v>2006</v>
      </c>
      <c r="E364" s="183" t="s">
        <v>524</v>
      </c>
      <c r="F364" s="178">
        <v>900</v>
      </c>
      <c r="G364" s="178">
        <v>18666</v>
      </c>
      <c r="H364" s="178">
        <v>9198</v>
      </c>
      <c r="I364" s="178">
        <v>9468</v>
      </c>
      <c r="J364" s="32">
        <v>356</v>
      </c>
      <c r="K364" s="263">
        <f t="shared" si="15"/>
        <v>126736</v>
      </c>
    </row>
    <row r="365" spans="1:11">
      <c r="A365" s="179" t="s">
        <v>423</v>
      </c>
      <c r="B365" s="179" t="s">
        <v>516</v>
      </c>
      <c r="C365" s="186">
        <v>39036</v>
      </c>
      <c r="D365" s="188">
        <f t="shared" si="14"/>
        <v>2006</v>
      </c>
      <c r="E365" s="183" t="s">
        <v>523</v>
      </c>
      <c r="F365" s="178">
        <v>400</v>
      </c>
      <c r="G365" s="178">
        <v>8776</v>
      </c>
      <c r="H365" s="178">
        <v>3936</v>
      </c>
      <c r="I365" s="178">
        <v>4840</v>
      </c>
      <c r="J365" s="32">
        <v>357</v>
      </c>
      <c r="K365" s="263">
        <f t="shared" si="15"/>
        <v>127449</v>
      </c>
    </row>
    <row r="366" spans="1:11">
      <c r="A366" s="179" t="s">
        <v>528</v>
      </c>
      <c r="B366" s="179" t="s">
        <v>516</v>
      </c>
      <c r="C366" s="186">
        <v>39038</v>
      </c>
      <c r="D366" s="188">
        <f t="shared" si="14"/>
        <v>2006</v>
      </c>
      <c r="E366" s="183" t="s">
        <v>525</v>
      </c>
      <c r="F366" s="178">
        <v>500</v>
      </c>
      <c r="G366" s="178">
        <v>11660</v>
      </c>
      <c r="H366" s="178">
        <v>4920</v>
      </c>
      <c r="I366" s="178">
        <v>6740</v>
      </c>
      <c r="J366" s="32">
        <v>358</v>
      </c>
      <c r="K366" s="263">
        <f t="shared" si="15"/>
        <v>128164</v>
      </c>
    </row>
    <row r="367" spans="1:11">
      <c r="A367" s="179" t="s">
        <v>423</v>
      </c>
      <c r="B367" s="179" t="s">
        <v>516</v>
      </c>
      <c r="C367" s="186">
        <v>39038</v>
      </c>
      <c r="D367" s="188">
        <f t="shared" si="14"/>
        <v>2006</v>
      </c>
      <c r="E367" s="183" t="s">
        <v>537</v>
      </c>
      <c r="F367" s="178">
        <v>800</v>
      </c>
      <c r="G367" s="178">
        <v>18904</v>
      </c>
      <c r="H367" s="178">
        <v>7872</v>
      </c>
      <c r="I367" s="178">
        <v>11032</v>
      </c>
      <c r="J367" s="32">
        <v>359</v>
      </c>
      <c r="K367" s="263">
        <f t="shared" si="15"/>
        <v>128881</v>
      </c>
    </row>
    <row r="368" spans="1:11">
      <c r="A368" s="179" t="s">
        <v>429</v>
      </c>
      <c r="B368" s="179" t="s">
        <v>516</v>
      </c>
      <c r="C368" s="186">
        <v>39038</v>
      </c>
      <c r="D368" s="188">
        <f t="shared" si="14"/>
        <v>2006</v>
      </c>
      <c r="E368" s="183" t="s">
        <v>533</v>
      </c>
      <c r="F368" s="178">
        <v>700</v>
      </c>
      <c r="G368" s="178">
        <v>16170</v>
      </c>
      <c r="H368" s="178">
        <v>6888</v>
      </c>
      <c r="I368" s="178">
        <v>9282</v>
      </c>
      <c r="J368" s="32">
        <v>360</v>
      </c>
      <c r="K368" s="263">
        <f t="shared" si="15"/>
        <v>129600</v>
      </c>
    </row>
    <row r="369" spans="1:11">
      <c r="A369" s="179" t="s">
        <v>429</v>
      </c>
      <c r="B369" s="179" t="s">
        <v>517</v>
      </c>
      <c r="C369" s="186">
        <v>39039</v>
      </c>
      <c r="D369" s="188">
        <f t="shared" si="14"/>
        <v>2006</v>
      </c>
      <c r="E369" s="183" t="s">
        <v>533</v>
      </c>
      <c r="F369" s="178">
        <v>400</v>
      </c>
      <c r="G369" s="178">
        <v>8132</v>
      </c>
      <c r="H369" s="178">
        <v>3388</v>
      </c>
      <c r="I369" s="178">
        <v>4744</v>
      </c>
      <c r="J369" s="32">
        <v>361</v>
      </c>
      <c r="K369" s="263">
        <f t="shared" si="15"/>
        <v>130321</v>
      </c>
    </row>
    <row r="370" spans="1:11">
      <c r="A370" s="179" t="s">
        <v>528</v>
      </c>
      <c r="B370" s="179" t="s">
        <v>517</v>
      </c>
      <c r="C370" s="186">
        <v>39039</v>
      </c>
      <c r="D370" s="188">
        <f t="shared" si="14"/>
        <v>2006</v>
      </c>
      <c r="E370" s="183" t="s">
        <v>532</v>
      </c>
      <c r="F370" s="178">
        <v>300</v>
      </c>
      <c r="G370" s="178">
        <v>5508</v>
      </c>
      <c r="H370" s="178">
        <v>2541</v>
      </c>
      <c r="I370" s="178">
        <v>2967</v>
      </c>
      <c r="J370" s="32">
        <v>362</v>
      </c>
      <c r="K370" s="263">
        <f t="shared" si="15"/>
        <v>131044</v>
      </c>
    </row>
    <row r="371" spans="1:11">
      <c r="A371" s="179" t="s">
        <v>429</v>
      </c>
      <c r="B371" s="179" t="s">
        <v>517</v>
      </c>
      <c r="C371" s="186">
        <v>39040</v>
      </c>
      <c r="D371" s="188">
        <f t="shared" si="14"/>
        <v>2006</v>
      </c>
      <c r="E371" s="183" t="s">
        <v>524</v>
      </c>
      <c r="F371" s="178">
        <v>200</v>
      </c>
      <c r="G371" s="178">
        <v>4012</v>
      </c>
      <c r="H371" s="178">
        <v>1694</v>
      </c>
      <c r="I371" s="178">
        <v>2318</v>
      </c>
      <c r="J371" s="32">
        <v>363</v>
      </c>
      <c r="K371" s="263">
        <f t="shared" si="15"/>
        <v>131769</v>
      </c>
    </row>
    <row r="372" spans="1:11">
      <c r="A372" s="179" t="s">
        <v>429</v>
      </c>
      <c r="B372" s="179" t="s">
        <v>516</v>
      </c>
      <c r="C372" s="186">
        <v>39042</v>
      </c>
      <c r="D372" s="188">
        <f t="shared" si="14"/>
        <v>2006</v>
      </c>
      <c r="E372" s="183" t="s">
        <v>534</v>
      </c>
      <c r="F372" s="178">
        <v>700</v>
      </c>
      <c r="G372" s="178">
        <v>16765</v>
      </c>
      <c r="H372" s="178">
        <v>6888</v>
      </c>
      <c r="I372" s="178">
        <v>9877</v>
      </c>
      <c r="J372" s="32">
        <v>364</v>
      </c>
      <c r="K372" s="263">
        <f t="shared" si="15"/>
        <v>132496</v>
      </c>
    </row>
    <row r="373" spans="1:11">
      <c r="A373" s="179" t="s">
        <v>429</v>
      </c>
      <c r="B373" s="179" t="s">
        <v>517</v>
      </c>
      <c r="C373" s="186">
        <v>39043</v>
      </c>
      <c r="D373" s="188">
        <f t="shared" si="14"/>
        <v>2006</v>
      </c>
      <c r="E373" s="183" t="s">
        <v>537</v>
      </c>
      <c r="F373" s="178">
        <v>600</v>
      </c>
      <c r="G373" s="178">
        <v>11274</v>
      </c>
      <c r="H373" s="178">
        <v>5082</v>
      </c>
      <c r="I373" s="178">
        <v>6192</v>
      </c>
      <c r="J373" s="32">
        <v>365</v>
      </c>
      <c r="K373" s="263">
        <f t="shared" si="15"/>
        <v>133225</v>
      </c>
    </row>
    <row r="374" spans="1:11">
      <c r="A374" s="179" t="s">
        <v>528</v>
      </c>
      <c r="B374" s="179" t="s">
        <v>518</v>
      </c>
      <c r="C374" s="186">
        <v>39046</v>
      </c>
      <c r="D374" s="188">
        <f t="shared" si="14"/>
        <v>2006</v>
      </c>
      <c r="E374" s="183" t="s">
        <v>529</v>
      </c>
      <c r="F374" s="178">
        <v>600</v>
      </c>
      <c r="G374" s="178">
        <v>13542</v>
      </c>
      <c r="H374" s="178">
        <v>6132</v>
      </c>
      <c r="I374" s="178">
        <v>7410</v>
      </c>
      <c r="J374" s="32">
        <v>366</v>
      </c>
      <c r="K374" s="263">
        <f t="shared" si="15"/>
        <v>133956</v>
      </c>
    </row>
    <row r="375" spans="1:11">
      <c r="A375" s="179" t="s">
        <v>528</v>
      </c>
      <c r="B375" s="179" t="s">
        <v>517</v>
      </c>
      <c r="C375" s="186">
        <v>39047</v>
      </c>
      <c r="D375" s="188">
        <f t="shared" si="14"/>
        <v>2006</v>
      </c>
      <c r="E375" s="183" t="s">
        <v>529</v>
      </c>
      <c r="F375" s="178">
        <v>400</v>
      </c>
      <c r="G375" s="178">
        <v>7852</v>
      </c>
      <c r="H375" s="178">
        <v>3388</v>
      </c>
      <c r="I375" s="178">
        <v>4464</v>
      </c>
      <c r="J375" s="32">
        <v>367</v>
      </c>
      <c r="K375" s="263">
        <f t="shared" si="15"/>
        <v>134689</v>
      </c>
    </row>
    <row r="376" spans="1:11">
      <c r="A376" s="179" t="s">
        <v>528</v>
      </c>
      <c r="B376" s="179" t="s">
        <v>518</v>
      </c>
      <c r="C376" s="186">
        <v>39048</v>
      </c>
      <c r="D376" s="188">
        <f t="shared" si="14"/>
        <v>2006</v>
      </c>
      <c r="E376" s="183" t="s">
        <v>530</v>
      </c>
      <c r="F376" s="178">
        <v>500</v>
      </c>
      <c r="G376" s="178">
        <v>10400</v>
      </c>
      <c r="H376" s="178">
        <v>5110</v>
      </c>
      <c r="I376" s="178">
        <v>5290</v>
      </c>
      <c r="J376" s="32">
        <v>368</v>
      </c>
      <c r="K376" s="263">
        <f t="shared" si="15"/>
        <v>135424</v>
      </c>
    </row>
    <row r="377" spans="1:11">
      <c r="A377" s="179" t="s">
        <v>423</v>
      </c>
      <c r="B377" s="179" t="s">
        <v>517</v>
      </c>
      <c r="C377" s="186">
        <v>39048</v>
      </c>
      <c r="D377" s="188">
        <f t="shared" si="14"/>
        <v>2006</v>
      </c>
      <c r="E377" s="183" t="s">
        <v>535</v>
      </c>
      <c r="F377" s="178">
        <v>1000</v>
      </c>
      <c r="G377" s="178">
        <v>17250</v>
      </c>
      <c r="H377" s="178">
        <v>8470</v>
      </c>
      <c r="I377" s="178">
        <v>8780</v>
      </c>
      <c r="J377" s="32">
        <v>369</v>
      </c>
      <c r="K377" s="263">
        <f t="shared" si="15"/>
        <v>136161</v>
      </c>
    </row>
    <row r="378" spans="1:11">
      <c r="A378" s="179" t="s">
        <v>528</v>
      </c>
      <c r="B378" s="179" t="s">
        <v>516</v>
      </c>
      <c r="C378" s="186">
        <v>39055</v>
      </c>
      <c r="D378" s="188">
        <f t="shared" si="14"/>
        <v>2006</v>
      </c>
      <c r="E378" s="183" t="s">
        <v>530</v>
      </c>
      <c r="F378" s="178">
        <v>500</v>
      </c>
      <c r="G378" s="178">
        <v>11430</v>
      </c>
      <c r="H378" s="178">
        <v>4920</v>
      </c>
      <c r="I378" s="178">
        <v>6510</v>
      </c>
      <c r="J378" s="32">
        <v>370</v>
      </c>
      <c r="K378" s="263">
        <f t="shared" si="15"/>
        <v>136900</v>
      </c>
    </row>
    <row r="379" spans="1:11">
      <c r="A379" s="179" t="s">
        <v>528</v>
      </c>
      <c r="B379" s="179" t="s">
        <v>518</v>
      </c>
      <c r="C379" s="186">
        <v>39062</v>
      </c>
      <c r="D379" s="188">
        <f t="shared" si="14"/>
        <v>2006</v>
      </c>
      <c r="E379" s="183" t="s">
        <v>531</v>
      </c>
      <c r="F379" s="178">
        <v>200</v>
      </c>
      <c r="G379" s="178">
        <v>4722</v>
      </c>
      <c r="H379" s="178">
        <v>2044</v>
      </c>
      <c r="I379" s="178">
        <v>2678</v>
      </c>
      <c r="J379" s="32">
        <v>371</v>
      </c>
      <c r="K379" s="263">
        <f t="shared" si="15"/>
        <v>137641</v>
      </c>
    </row>
    <row r="380" spans="1:11">
      <c r="A380" s="179" t="s">
        <v>528</v>
      </c>
      <c r="B380" s="179" t="s">
        <v>516</v>
      </c>
      <c r="C380" s="186">
        <v>39066</v>
      </c>
      <c r="D380" s="188">
        <f t="shared" si="14"/>
        <v>2006</v>
      </c>
      <c r="E380" s="183" t="s">
        <v>525</v>
      </c>
      <c r="F380" s="178">
        <v>900</v>
      </c>
      <c r="G380" s="178">
        <v>21546</v>
      </c>
      <c r="H380" s="178">
        <v>8856</v>
      </c>
      <c r="I380" s="178">
        <v>12690</v>
      </c>
      <c r="J380" s="32">
        <v>372</v>
      </c>
      <c r="K380" s="263">
        <f t="shared" si="15"/>
        <v>138384</v>
      </c>
    </row>
    <row r="381" spans="1:11">
      <c r="A381" s="179" t="s">
        <v>423</v>
      </c>
      <c r="B381" s="179" t="s">
        <v>517</v>
      </c>
      <c r="C381" s="186">
        <v>39067</v>
      </c>
      <c r="D381" s="188">
        <f t="shared" si="14"/>
        <v>2006</v>
      </c>
      <c r="E381" s="183" t="s">
        <v>523</v>
      </c>
      <c r="F381" s="178">
        <v>800</v>
      </c>
      <c r="G381" s="178">
        <v>15400</v>
      </c>
      <c r="H381" s="178">
        <v>6776</v>
      </c>
      <c r="I381" s="178">
        <v>8624</v>
      </c>
      <c r="J381" s="32">
        <v>373</v>
      </c>
      <c r="K381" s="263">
        <f t="shared" si="15"/>
        <v>139129</v>
      </c>
    </row>
    <row r="382" spans="1:11">
      <c r="A382" s="179" t="s">
        <v>429</v>
      </c>
      <c r="B382" s="179" t="s">
        <v>516</v>
      </c>
      <c r="C382" s="186">
        <v>39069</v>
      </c>
      <c r="D382" s="188">
        <f t="shared" si="14"/>
        <v>2006</v>
      </c>
      <c r="E382" s="183" t="s">
        <v>531</v>
      </c>
      <c r="F382" s="178">
        <v>100</v>
      </c>
      <c r="G382" s="178">
        <v>2319</v>
      </c>
      <c r="H382" s="178">
        <v>984</v>
      </c>
      <c r="I382" s="178">
        <v>1335</v>
      </c>
      <c r="J382" s="32">
        <v>374</v>
      </c>
      <c r="K382" s="263">
        <f t="shared" si="15"/>
        <v>139876</v>
      </c>
    </row>
    <row r="383" spans="1:11">
      <c r="A383" s="179" t="s">
        <v>429</v>
      </c>
      <c r="B383" s="179" t="s">
        <v>516</v>
      </c>
      <c r="C383" s="186">
        <v>39071</v>
      </c>
      <c r="D383" s="188">
        <f t="shared" si="14"/>
        <v>2006</v>
      </c>
      <c r="E383" s="183" t="s">
        <v>530</v>
      </c>
      <c r="F383" s="178">
        <v>700</v>
      </c>
      <c r="G383" s="178">
        <v>13867</v>
      </c>
      <c r="H383" s="178">
        <v>6888</v>
      </c>
      <c r="I383" s="178">
        <v>6979</v>
      </c>
      <c r="J383" s="32">
        <v>375</v>
      </c>
      <c r="K383" s="263">
        <f t="shared" si="15"/>
        <v>140625</v>
      </c>
    </row>
    <row r="384" spans="1:11">
      <c r="A384" s="179" t="s">
        <v>423</v>
      </c>
      <c r="B384" s="179" t="s">
        <v>517</v>
      </c>
      <c r="C384" s="186">
        <v>39072</v>
      </c>
      <c r="D384" s="188">
        <f t="shared" si="14"/>
        <v>2006</v>
      </c>
      <c r="E384" s="183" t="s">
        <v>533</v>
      </c>
      <c r="F384" s="178">
        <v>1000</v>
      </c>
      <c r="G384" s="178">
        <v>19530</v>
      </c>
      <c r="H384" s="178">
        <v>8470</v>
      </c>
      <c r="I384" s="178">
        <v>11060</v>
      </c>
      <c r="J384" s="32">
        <v>376</v>
      </c>
      <c r="K384" s="263">
        <f t="shared" si="15"/>
        <v>141376</v>
      </c>
    </row>
    <row r="385" spans="1:11">
      <c r="A385" s="179" t="s">
        <v>429</v>
      </c>
      <c r="B385" s="179" t="s">
        <v>517</v>
      </c>
      <c r="C385" s="186">
        <v>39076</v>
      </c>
      <c r="D385" s="188">
        <f t="shared" si="14"/>
        <v>2006</v>
      </c>
      <c r="E385" s="183" t="s">
        <v>525</v>
      </c>
      <c r="F385" s="178">
        <v>200</v>
      </c>
      <c r="G385" s="178">
        <v>4192</v>
      </c>
      <c r="H385" s="178">
        <v>1694</v>
      </c>
      <c r="I385" s="178">
        <v>2498</v>
      </c>
      <c r="J385" s="32">
        <v>377</v>
      </c>
      <c r="K385" s="263">
        <f t="shared" si="15"/>
        <v>142129</v>
      </c>
    </row>
    <row r="386" spans="1:11">
      <c r="A386" s="179" t="s">
        <v>429</v>
      </c>
      <c r="B386" s="179" t="s">
        <v>518</v>
      </c>
      <c r="C386" s="186">
        <v>39077</v>
      </c>
      <c r="D386" s="188">
        <f t="shared" si="14"/>
        <v>2006</v>
      </c>
      <c r="E386" s="183" t="s">
        <v>534</v>
      </c>
      <c r="F386" s="178">
        <v>900</v>
      </c>
      <c r="G386" s="178">
        <v>19539</v>
      </c>
      <c r="H386" s="178">
        <v>9198</v>
      </c>
      <c r="I386" s="178">
        <v>10341</v>
      </c>
      <c r="J386" s="32">
        <v>378</v>
      </c>
      <c r="K386" s="263">
        <f t="shared" si="15"/>
        <v>142884</v>
      </c>
    </row>
    <row r="387" spans="1:11">
      <c r="A387" s="179" t="s">
        <v>429</v>
      </c>
      <c r="B387" s="179" t="s">
        <v>517</v>
      </c>
      <c r="C387" s="186">
        <v>39080</v>
      </c>
      <c r="D387" s="188">
        <f t="shared" si="14"/>
        <v>2006</v>
      </c>
      <c r="E387" s="183" t="s">
        <v>531</v>
      </c>
      <c r="F387" s="178">
        <v>900</v>
      </c>
      <c r="G387" s="178">
        <v>17289</v>
      </c>
      <c r="H387" s="178">
        <v>7623</v>
      </c>
      <c r="I387" s="178">
        <v>9666</v>
      </c>
      <c r="J387" s="32">
        <v>379</v>
      </c>
      <c r="K387" s="263">
        <f t="shared" si="15"/>
        <v>143641</v>
      </c>
    </row>
    <row r="388" spans="1:11">
      <c r="A388" s="179" t="s">
        <v>429</v>
      </c>
      <c r="B388" s="179" t="s">
        <v>518</v>
      </c>
      <c r="C388" s="186">
        <v>39081</v>
      </c>
      <c r="D388" s="188">
        <f t="shared" si="14"/>
        <v>2006</v>
      </c>
      <c r="E388" s="183" t="s">
        <v>524</v>
      </c>
      <c r="F388" s="178">
        <v>500</v>
      </c>
      <c r="G388" s="178">
        <v>10650</v>
      </c>
      <c r="H388" s="178">
        <v>5110</v>
      </c>
      <c r="I388" s="178">
        <v>5540</v>
      </c>
      <c r="J388" s="32">
        <v>380</v>
      </c>
      <c r="K388" s="263">
        <f t="shared" si="15"/>
        <v>144400</v>
      </c>
    </row>
    <row r="389" spans="1:11">
      <c r="A389" s="179" t="s">
        <v>528</v>
      </c>
      <c r="B389" s="179" t="s">
        <v>516</v>
      </c>
      <c r="C389" s="186">
        <v>39082</v>
      </c>
      <c r="D389" s="188">
        <f t="shared" si="14"/>
        <v>2006</v>
      </c>
      <c r="E389" s="183" t="s">
        <v>532</v>
      </c>
      <c r="F389" s="178">
        <v>200</v>
      </c>
      <c r="G389" s="178">
        <v>4132</v>
      </c>
      <c r="H389" s="178">
        <v>1968</v>
      </c>
      <c r="I389" s="178">
        <v>2164</v>
      </c>
      <c r="J389" s="32">
        <v>381</v>
      </c>
      <c r="K389" s="263">
        <f t="shared" si="15"/>
        <v>145161</v>
      </c>
    </row>
    <row r="390" spans="1:11">
      <c r="A390" s="179" t="s">
        <v>528</v>
      </c>
      <c r="B390" s="179" t="s">
        <v>516</v>
      </c>
      <c r="C390" s="186">
        <v>39083</v>
      </c>
      <c r="D390" s="188">
        <f t="shared" si="14"/>
        <v>2007</v>
      </c>
      <c r="E390" s="183" t="s">
        <v>545</v>
      </c>
      <c r="F390" s="178">
        <v>800</v>
      </c>
      <c r="G390" s="178">
        <v>16784</v>
      </c>
      <c r="H390" s="178">
        <v>7872</v>
      </c>
      <c r="I390" s="178">
        <v>8912</v>
      </c>
      <c r="J390" s="32">
        <v>382</v>
      </c>
      <c r="K390" s="263">
        <f t="shared" si="15"/>
        <v>145924</v>
      </c>
    </row>
    <row r="391" spans="1:11">
      <c r="A391" s="179" t="s">
        <v>528</v>
      </c>
      <c r="B391" s="179" t="s">
        <v>517</v>
      </c>
      <c r="C391" s="186">
        <v>39083</v>
      </c>
      <c r="D391" s="188">
        <f t="shared" si="14"/>
        <v>2007</v>
      </c>
      <c r="E391" s="183" t="s">
        <v>523</v>
      </c>
      <c r="F391" s="178">
        <v>300</v>
      </c>
      <c r="G391" s="178">
        <v>5886</v>
      </c>
      <c r="H391" s="178">
        <v>2541</v>
      </c>
      <c r="I391" s="178">
        <v>3345</v>
      </c>
      <c r="J391" s="32">
        <v>383</v>
      </c>
      <c r="K391" s="263">
        <f t="shared" si="15"/>
        <v>146689</v>
      </c>
    </row>
    <row r="392" spans="1:11">
      <c r="A392" s="179" t="s">
        <v>528</v>
      </c>
      <c r="B392" s="179" t="s">
        <v>518</v>
      </c>
      <c r="C392" s="186">
        <v>39084</v>
      </c>
      <c r="D392" s="188">
        <f t="shared" si="14"/>
        <v>2007</v>
      </c>
      <c r="E392" s="183" t="s">
        <v>533</v>
      </c>
      <c r="F392" s="178">
        <v>600</v>
      </c>
      <c r="G392" s="178">
        <v>13680</v>
      </c>
      <c r="H392" s="178">
        <v>6132</v>
      </c>
      <c r="I392" s="178">
        <v>7548</v>
      </c>
      <c r="J392" s="32">
        <v>384</v>
      </c>
      <c r="K392" s="263">
        <f t="shared" si="15"/>
        <v>147456</v>
      </c>
    </row>
    <row r="393" spans="1:11">
      <c r="A393" s="179" t="s">
        <v>528</v>
      </c>
      <c r="B393" s="179" t="s">
        <v>518</v>
      </c>
      <c r="C393" s="186">
        <v>39085</v>
      </c>
      <c r="D393" s="188">
        <f t="shared" ref="D393:D456" si="16">YEAR(C393)</f>
        <v>2007</v>
      </c>
      <c r="E393" s="183" t="s">
        <v>524</v>
      </c>
      <c r="F393" s="178">
        <v>100</v>
      </c>
      <c r="G393" s="178">
        <v>2092</v>
      </c>
      <c r="H393" s="178">
        <v>1022</v>
      </c>
      <c r="I393" s="178">
        <v>1070</v>
      </c>
      <c r="J393" s="32">
        <v>385</v>
      </c>
      <c r="K393" s="263">
        <f t="shared" si="15"/>
        <v>148225</v>
      </c>
    </row>
    <row r="394" spans="1:11">
      <c r="A394" s="179" t="s">
        <v>429</v>
      </c>
      <c r="B394" s="179" t="s">
        <v>516</v>
      </c>
      <c r="C394" s="186">
        <v>39085</v>
      </c>
      <c r="D394" s="188">
        <f t="shared" si="16"/>
        <v>2007</v>
      </c>
      <c r="E394" s="183" t="s">
        <v>532</v>
      </c>
      <c r="F394" s="178">
        <v>1000</v>
      </c>
      <c r="G394" s="178">
        <v>23040</v>
      </c>
      <c r="H394" s="178">
        <v>9840</v>
      </c>
      <c r="I394" s="178">
        <v>13200</v>
      </c>
      <c r="J394" s="32">
        <v>386</v>
      </c>
      <c r="K394" s="263">
        <f t="shared" ref="K394:K457" si="17">J394*J394</f>
        <v>148996</v>
      </c>
    </row>
    <row r="395" spans="1:11">
      <c r="A395" s="179" t="s">
        <v>528</v>
      </c>
      <c r="B395" s="179" t="s">
        <v>517</v>
      </c>
      <c r="C395" s="186">
        <v>39086</v>
      </c>
      <c r="D395" s="188">
        <f t="shared" si="16"/>
        <v>2007</v>
      </c>
      <c r="E395" s="183" t="s">
        <v>523</v>
      </c>
      <c r="F395" s="178">
        <v>800</v>
      </c>
      <c r="G395" s="178">
        <v>15544</v>
      </c>
      <c r="H395" s="178">
        <v>6776</v>
      </c>
      <c r="I395" s="178">
        <v>8768</v>
      </c>
      <c r="J395" s="32">
        <v>387</v>
      </c>
      <c r="K395" s="263">
        <f t="shared" si="17"/>
        <v>149769</v>
      </c>
    </row>
    <row r="396" spans="1:11">
      <c r="A396" s="179" t="s">
        <v>423</v>
      </c>
      <c r="B396" s="179" t="s">
        <v>518</v>
      </c>
      <c r="C396" s="186">
        <v>39087</v>
      </c>
      <c r="D396" s="188">
        <f t="shared" si="16"/>
        <v>2007</v>
      </c>
      <c r="E396" s="183" t="s">
        <v>530</v>
      </c>
      <c r="F396" s="178">
        <v>400</v>
      </c>
      <c r="G396" s="178">
        <v>8284</v>
      </c>
      <c r="H396" s="178">
        <v>4088</v>
      </c>
      <c r="I396" s="178">
        <v>4196</v>
      </c>
      <c r="J396" s="32">
        <v>388</v>
      </c>
      <c r="K396" s="263">
        <f t="shared" si="17"/>
        <v>150544</v>
      </c>
    </row>
    <row r="397" spans="1:11">
      <c r="A397" s="179" t="s">
        <v>423</v>
      </c>
      <c r="B397" s="179" t="s">
        <v>517</v>
      </c>
      <c r="C397" s="186">
        <v>39097</v>
      </c>
      <c r="D397" s="188">
        <f t="shared" si="16"/>
        <v>2007</v>
      </c>
      <c r="E397" s="183" t="s">
        <v>533</v>
      </c>
      <c r="F397" s="178">
        <v>700</v>
      </c>
      <c r="G397" s="178">
        <v>12145</v>
      </c>
      <c r="H397" s="178">
        <v>5929</v>
      </c>
      <c r="I397" s="178">
        <v>6216</v>
      </c>
      <c r="J397" s="32">
        <v>389</v>
      </c>
      <c r="K397" s="263">
        <f t="shared" si="17"/>
        <v>151321</v>
      </c>
    </row>
    <row r="398" spans="1:11">
      <c r="A398" s="179" t="s">
        <v>429</v>
      </c>
      <c r="B398" s="179" t="s">
        <v>518</v>
      </c>
      <c r="C398" s="186">
        <v>39098</v>
      </c>
      <c r="D398" s="188">
        <f t="shared" si="16"/>
        <v>2007</v>
      </c>
      <c r="E398" s="183" t="s">
        <v>533</v>
      </c>
      <c r="F398" s="178">
        <v>900</v>
      </c>
      <c r="G398" s="178">
        <v>21456</v>
      </c>
      <c r="H398" s="178">
        <v>9198</v>
      </c>
      <c r="I398" s="178">
        <v>12258</v>
      </c>
      <c r="J398" s="32">
        <v>390</v>
      </c>
      <c r="K398" s="263">
        <f t="shared" si="17"/>
        <v>152100</v>
      </c>
    </row>
    <row r="399" spans="1:11">
      <c r="A399" s="179" t="s">
        <v>528</v>
      </c>
      <c r="B399" s="179" t="s">
        <v>516</v>
      </c>
      <c r="C399" s="186">
        <v>39099</v>
      </c>
      <c r="D399" s="188">
        <f t="shared" si="16"/>
        <v>2007</v>
      </c>
      <c r="E399" s="183" t="s">
        <v>529</v>
      </c>
      <c r="F399" s="178">
        <v>800</v>
      </c>
      <c r="G399" s="178">
        <v>17416</v>
      </c>
      <c r="H399" s="178">
        <v>7872</v>
      </c>
      <c r="I399" s="178">
        <v>9544</v>
      </c>
      <c r="J399" s="32">
        <v>391</v>
      </c>
      <c r="K399" s="263">
        <f t="shared" si="17"/>
        <v>152881</v>
      </c>
    </row>
    <row r="400" spans="1:11">
      <c r="A400" s="179" t="s">
        <v>423</v>
      </c>
      <c r="B400" s="179" t="s">
        <v>517</v>
      </c>
      <c r="C400" s="186">
        <v>39101</v>
      </c>
      <c r="D400" s="188">
        <f t="shared" si="16"/>
        <v>2007</v>
      </c>
      <c r="E400" s="183" t="s">
        <v>523</v>
      </c>
      <c r="F400" s="178">
        <v>100</v>
      </c>
      <c r="G400" s="178">
        <v>1741</v>
      </c>
      <c r="H400" s="178">
        <v>847</v>
      </c>
      <c r="I400" s="178">
        <v>894</v>
      </c>
      <c r="J400" s="32">
        <v>392</v>
      </c>
      <c r="K400" s="263">
        <f t="shared" si="17"/>
        <v>153664</v>
      </c>
    </row>
    <row r="401" spans="1:11">
      <c r="A401" s="179" t="s">
        <v>429</v>
      </c>
      <c r="B401" s="179" t="s">
        <v>518</v>
      </c>
      <c r="C401" s="186">
        <v>39103</v>
      </c>
      <c r="D401" s="188">
        <f t="shared" si="16"/>
        <v>2007</v>
      </c>
      <c r="E401" s="183" t="s">
        <v>533</v>
      </c>
      <c r="F401" s="178">
        <v>100</v>
      </c>
      <c r="G401" s="178">
        <v>2234</v>
      </c>
      <c r="H401" s="178">
        <v>1022</v>
      </c>
      <c r="I401" s="178">
        <v>1212</v>
      </c>
      <c r="J401" s="32">
        <v>393</v>
      </c>
      <c r="K401" s="263">
        <f t="shared" si="17"/>
        <v>154449</v>
      </c>
    </row>
    <row r="402" spans="1:11">
      <c r="A402" s="179" t="s">
        <v>423</v>
      </c>
      <c r="B402" s="179" t="s">
        <v>517</v>
      </c>
      <c r="C402" s="186">
        <v>39104</v>
      </c>
      <c r="D402" s="188">
        <f t="shared" si="16"/>
        <v>2007</v>
      </c>
      <c r="E402" s="183" t="s">
        <v>525</v>
      </c>
      <c r="F402" s="178">
        <v>800</v>
      </c>
      <c r="G402" s="178">
        <v>15488</v>
      </c>
      <c r="H402" s="178">
        <v>6776</v>
      </c>
      <c r="I402" s="178">
        <v>8712</v>
      </c>
      <c r="J402" s="32">
        <v>394</v>
      </c>
      <c r="K402" s="263">
        <f t="shared" si="17"/>
        <v>155236</v>
      </c>
    </row>
    <row r="403" spans="1:11">
      <c r="A403" s="179" t="s">
        <v>423</v>
      </c>
      <c r="B403" s="179" t="s">
        <v>518</v>
      </c>
      <c r="C403" s="186">
        <v>39104</v>
      </c>
      <c r="D403" s="188">
        <f t="shared" si="16"/>
        <v>2007</v>
      </c>
      <c r="E403" s="183" t="s">
        <v>531</v>
      </c>
      <c r="F403" s="178">
        <v>100</v>
      </c>
      <c r="G403" s="178">
        <v>2178</v>
      </c>
      <c r="H403" s="178">
        <v>1022</v>
      </c>
      <c r="I403" s="178">
        <v>1156</v>
      </c>
      <c r="J403" s="32">
        <v>395</v>
      </c>
      <c r="K403" s="263">
        <f t="shared" si="17"/>
        <v>156025</v>
      </c>
    </row>
    <row r="404" spans="1:11">
      <c r="A404" s="179" t="s">
        <v>429</v>
      </c>
      <c r="B404" s="179" t="s">
        <v>516</v>
      </c>
      <c r="C404" s="186">
        <v>39107</v>
      </c>
      <c r="D404" s="188">
        <f t="shared" si="16"/>
        <v>2007</v>
      </c>
      <c r="E404" s="183" t="s">
        <v>533</v>
      </c>
      <c r="F404" s="178">
        <v>700</v>
      </c>
      <c r="G404" s="178">
        <v>17150</v>
      </c>
      <c r="H404" s="178">
        <v>6888</v>
      </c>
      <c r="I404" s="178">
        <v>10262</v>
      </c>
      <c r="J404" s="32">
        <v>396</v>
      </c>
      <c r="K404" s="263">
        <f t="shared" si="17"/>
        <v>156816</v>
      </c>
    </row>
    <row r="405" spans="1:11">
      <c r="A405" s="179" t="s">
        <v>423</v>
      </c>
      <c r="B405" s="179" t="s">
        <v>516</v>
      </c>
      <c r="C405" s="186">
        <v>39108</v>
      </c>
      <c r="D405" s="188">
        <f t="shared" si="16"/>
        <v>2007</v>
      </c>
      <c r="E405" s="183" t="s">
        <v>525</v>
      </c>
      <c r="F405" s="178">
        <v>800</v>
      </c>
      <c r="G405" s="178">
        <v>16936</v>
      </c>
      <c r="H405" s="178">
        <v>7872</v>
      </c>
      <c r="I405" s="178">
        <v>9064</v>
      </c>
      <c r="J405" s="32">
        <v>397</v>
      </c>
      <c r="K405" s="263">
        <f t="shared" si="17"/>
        <v>157609</v>
      </c>
    </row>
    <row r="406" spans="1:11">
      <c r="A406" s="179" t="s">
        <v>429</v>
      </c>
      <c r="B406" s="179" t="s">
        <v>516</v>
      </c>
      <c r="C406" s="186">
        <v>39109</v>
      </c>
      <c r="D406" s="188">
        <f t="shared" si="16"/>
        <v>2007</v>
      </c>
      <c r="E406" s="183" t="s">
        <v>523</v>
      </c>
      <c r="F406" s="178">
        <v>900</v>
      </c>
      <c r="G406" s="178">
        <v>21708</v>
      </c>
      <c r="H406" s="178">
        <v>8856</v>
      </c>
      <c r="I406" s="178">
        <v>12852</v>
      </c>
      <c r="J406" s="32">
        <v>398</v>
      </c>
      <c r="K406" s="263">
        <f t="shared" si="17"/>
        <v>158404</v>
      </c>
    </row>
    <row r="407" spans="1:11">
      <c r="A407" s="179" t="s">
        <v>423</v>
      </c>
      <c r="B407" s="179" t="s">
        <v>517</v>
      </c>
      <c r="C407" s="186">
        <v>39110</v>
      </c>
      <c r="D407" s="188">
        <f t="shared" si="16"/>
        <v>2007</v>
      </c>
      <c r="E407" s="183" t="s">
        <v>532</v>
      </c>
      <c r="F407" s="178">
        <v>300</v>
      </c>
      <c r="G407" s="178">
        <v>5532</v>
      </c>
      <c r="H407" s="178">
        <v>2541</v>
      </c>
      <c r="I407" s="178">
        <v>2991</v>
      </c>
      <c r="J407" s="32">
        <v>399</v>
      </c>
      <c r="K407" s="263">
        <f t="shared" si="17"/>
        <v>159201</v>
      </c>
    </row>
    <row r="408" spans="1:11">
      <c r="A408" s="179" t="s">
        <v>429</v>
      </c>
      <c r="B408" s="179" t="s">
        <v>516</v>
      </c>
      <c r="C408" s="186">
        <v>39114</v>
      </c>
      <c r="D408" s="188">
        <f t="shared" si="16"/>
        <v>2007</v>
      </c>
      <c r="E408" s="183" t="s">
        <v>524</v>
      </c>
      <c r="F408" s="178">
        <v>100</v>
      </c>
      <c r="G408" s="178">
        <v>2054</v>
      </c>
      <c r="H408" s="178">
        <v>984</v>
      </c>
      <c r="I408" s="178">
        <v>1070</v>
      </c>
      <c r="J408" s="32">
        <v>400</v>
      </c>
      <c r="K408" s="263">
        <f t="shared" si="17"/>
        <v>160000</v>
      </c>
    </row>
    <row r="409" spans="1:11">
      <c r="A409" s="179" t="s">
        <v>528</v>
      </c>
      <c r="B409" s="179" t="s">
        <v>518</v>
      </c>
      <c r="C409" s="186">
        <v>39116</v>
      </c>
      <c r="D409" s="188">
        <f t="shared" si="16"/>
        <v>2007</v>
      </c>
      <c r="E409" s="183" t="s">
        <v>525</v>
      </c>
      <c r="F409" s="178">
        <v>400</v>
      </c>
      <c r="G409" s="178">
        <v>10044</v>
      </c>
      <c r="H409" s="178">
        <v>4088</v>
      </c>
      <c r="I409" s="178">
        <v>5956</v>
      </c>
      <c r="J409" s="32">
        <v>401</v>
      </c>
      <c r="K409" s="263">
        <f t="shared" si="17"/>
        <v>160801</v>
      </c>
    </row>
    <row r="410" spans="1:11">
      <c r="A410" s="179" t="s">
        <v>429</v>
      </c>
      <c r="B410" s="179" t="s">
        <v>518</v>
      </c>
      <c r="C410" s="186">
        <v>39121</v>
      </c>
      <c r="D410" s="188">
        <f t="shared" si="16"/>
        <v>2007</v>
      </c>
      <c r="E410" s="183" t="s">
        <v>523</v>
      </c>
      <c r="F410" s="178">
        <v>200</v>
      </c>
      <c r="G410" s="178">
        <v>4784</v>
      </c>
      <c r="H410" s="178">
        <v>2044</v>
      </c>
      <c r="I410" s="178">
        <v>2740</v>
      </c>
      <c r="J410" s="32">
        <v>402</v>
      </c>
      <c r="K410" s="263">
        <f t="shared" si="17"/>
        <v>161604</v>
      </c>
    </row>
    <row r="411" spans="1:11">
      <c r="A411" s="179" t="s">
        <v>528</v>
      </c>
      <c r="B411" s="179" t="s">
        <v>518</v>
      </c>
      <c r="C411" s="186">
        <v>39122</v>
      </c>
      <c r="D411" s="188">
        <f t="shared" si="16"/>
        <v>2007</v>
      </c>
      <c r="E411" s="183" t="s">
        <v>536</v>
      </c>
      <c r="F411" s="178">
        <v>200</v>
      </c>
      <c r="G411" s="178">
        <v>4614</v>
      </c>
      <c r="H411" s="178">
        <v>2044</v>
      </c>
      <c r="I411" s="178">
        <v>2570</v>
      </c>
      <c r="J411" s="32">
        <v>403</v>
      </c>
      <c r="K411" s="263">
        <f t="shared" si="17"/>
        <v>162409</v>
      </c>
    </row>
    <row r="412" spans="1:11">
      <c r="A412" s="179" t="s">
        <v>423</v>
      </c>
      <c r="B412" s="179" t="s">
        <v>518</v>
      </c>
      <c r="C412" s="186">
        <v>39123</v>
      </c>
      <c r="D412" s="188">
        <f t="shared" si="16"/>
        <v>2007</v>
      </c>
      <c r="E412" s="183" t="s">
        <v>525</v>
      </c>
      <c r="F412" s="178">
        <v>300</v>
      </c>
      <c r="G412" s="178">
        <v>6765</v>
      </c>
      <c r="H412" s="178">
        <v>3066</v>
      </c>
      <c r="I412" s="178">
        <v>3699</v>
      </c>
      <c r="J412" s="32">
        <v>404</v>
      </c>
      <c r="K412" s="263">
        <f t="shared" si="17"/>
        <v>163216</v>
      </c>
    </row>
    <row r="413" spans="1:11">
      <c r="A413" s="179" t="s">
        <v>423</v>
      </c>
      <c r="B413" s="179" t="s">
        <v>517</v>
      </c>
      <c r="C413" s="186">
        <v>39125</v>
      </c>
      <c r="D413" s="188">
        <f t="shared" si="16"/>
        <v>2007</v>
      </c>
      <c r="E413" s="183" t="s">
        <v>525</v>
      </c>
      <c r="F413" s="178">
        <v>700</v>
      </c>
      <c r="G413" s="178">
        <v>13412</v>
      </c>
      <c r="H413" s="178">
        <v>5929</v>
      </c>
      <c r="I413" s="178">
        <v>7483</v>
      </c>
      <c r="J413" s="32">
        <v>405</v>
      </c>
      <c r="K413" s="263">
        <f t="shared" si="17"/>
        <v>164025</v>
      </c>
    </row>
    <row r="414" spans="1:11">
      <c r="A414" s="179" t="s">
        <v>528</v>
      </c>
      <c r="B414" s="179" t="s">
        <v>516</v>
      </c>
      <c r="C414" s="186">
        <v>39125</v>
      </c>
      <c r="D414" s="188">
        <f t="shared" si="16"/>
        <v>2007</v>
      </c>
      <c r="E414" s="183" t="s">
        <v>523</v>
      </c>
      <c r="F414" s="178">
        <v>600</v>
      </c>
      <c r="G414" s="178">
        <v>12888</v>
      </c>
      <c r="H414" s="178">
        <v>5904</v>
      </c>
      <c r="I414" s="178">
        <v>6984</v>
      </c>
      <c r="J414" s="32">
        <v>406</v>
      </c>
      <c r="K414" s="263">
        <f t="shared" si="17"/>
        <v>164836</v>
      </c>
    </row>
    <row r="415" spans="1:11">
      <c r="A415" s="179" t="s">
        <v>429</v>
      </c>
      <c r="B415" s="179" t="s">
        <v>518</v>
      </c>
      <c r="C415" s="186">
        <v>39126</v>
      </c>
      <c r="D415" s="188">
        <f t="shared" si="16"/>
        <v>2007</v>
      </c>
      <c r="E415" s="183" t="s">
        <v>530</v>
      </c>
      <c r="F415" s="178">
        <v>1000</v>
      </c>
      <c r="G415" s="178">
        <v>22020</v>
      </c>
      <c r="H415" s="178">
        <v>10220</v>
      </c>
      <c r="I415" s="178">
        <v>11800</v>
      </c>
      <c r="J415" s="32">
        <v>407</v>
      </c>
      <c r="K415" s="263">
        <f t="shared" si="17"/>
        <v>165649</v>
      </c>
    </row>
    <row r="416" spans="1:11">
      <c r="A416" s="179" t="s">
        <v>528</v>
      </c>
      <c r="B416" s="179" t="s">
        <v>517</v>
      </c>
      <c r="C416" s="186">
        <v>39127</v>
      </c>
      <c r="D416" s="188">
        <f t="shared" si="16"/>
        <v>2007</v>
      </c>
      <c r="E416" s="183" t="s">
        <v>529</v>
      </c>
      <c r="F416" s="178">
        <v>700</v>
      </c>
      <c r="G416" s="178">
        <v>13552</v>
      </c>
      <c r="H416" s="178">
        <v>5929</v>
      </c>
      <c r="I416" s="178">
        <v>7623</v>
      </c>
      <c r="J416" s="32">
        <v>408</v>
      </c>
      <c r="K416" s="263">
        <f t="shared" si="17"/>
        <v>166464</v>
      </c>
    </row>
    <row r="417" spans="1:11">
      <c r="A417" s="179" t="s">
        <v>429</v>
      </c>
      <c r="B417" s="179" t="s">
        <v>516</v>
      </c>
      <c r="C417" s="186">
        <v>39131</v>
      </c>
      <c r="D417" s="188">
        <f t="shared" si="16"/>
        <v>2007</v>
      </c>
      <c r="E417" s="183" t="s">
        <v>534</v>
      </c>
      <c r="F417" s="178">
        <v>500</v>
      </c>
      <c r="G417" s="178">
        <v>11860</v>
      </c>
      <c r="H417" s="178">
        <v>4920</v>
      </c>
      <c r="I417" s="178">
        <v>6940</v>
      </c>
      <c r="J417" s="32">
        <v>409</v>
      </c>
      <c r="K417" s="263">
        <f t="shared" si="17"/>
        <v>167281</v>
      </c>
    </row>
    <row r="418" spans="1:11">
      <c r="A418" s="179" t="s">
        <v>429</v>
      </c>
      <c r="B418" s="179" t="s">
        <v>518</v>
      </c>
      <c r="C418" s="186">
        <v>39135</v>
      </c>
      <c r="D418" s="188">
        <f t="shared" si="16"/>
        <v>2007</v>
      </c>
      <c r="E418" s="183" t="s">
        <v>525</v>
      </c>
      <c r="F418" s="178">
        <v>200</v>
      </c>
      <c r="G418" s="178">
        <v>4124</v>
      </c>
      <c r="H418" s="178">
        <v>2044</v>
      </c>
      <c r="I418" s="178">
        <v>2080</v>
      </c>
      <c r="J418" s="32">
        <v>410</v>
      </c>
      <c r="K418" s="263">
        <f t="shared" si="17"/>
        <v>168100</v>
      </c>
    </row>
    <row r="419" spans="1:11">
      <c r="A419" s="179" t="s">
        <v>429</v>
      </c>
      <c r="B419" s="179" t="s">
        <v>516</v>
      </c>
      <c r="C419" s="186">
        <v>39135</v>
      </c>
      <c r="D419" s="188">
        <f t="shared" si="16"/>
        <v>2007</v>
      </c>
      <c r="E419" s="183" t="s">
        <v>533</v>
      </c>
      <c r="F419" s="178">
        <v>100</v>
      </c>
      <c r="G419" s="178">
        <v>2106</v>
      </c>
      <c r="H419" s="178">
        <v>984</v>
      </c>
      <c r="I419" s="178">
        <v>1122</v>
      </c>
      <c r="J419" s="32">
        <v>411</v>
      </c>
      <c r="K419" s="263">
        <f t="shared" si="17"/>
        <v>168921</v>
      </c>
    </row>
    <row r="420" spans="1:11">
      <c r="A420" s="179" t="s">
        <v>528</v>
      </c>
      <c r="B420" s="179" t="s">
        <v>518</v>
      </c>
      <c r="C420" s="186">
        <v>39141</v>
      </c>
      <c r="D420" s="188">
        <f t="shared" si="16"/>
        <v>2007</v>
      </c>
      <c r="E420" s="183" t="s">
        <v>550</v>
      </c>
      <c r="F420" s="178">
        <v>100</v>
      </c>
      <c r="G420" s="178">
        <v>2484</v>
      </c>
      <c r="H420" s="178">
        <v>1022</v>
      </c>
      <c r="I420" s="178">
        <v>1462</v>
      </c>
      <c r="J420" s="32">
        <v>412</v>
      </c>
      <c r="K420" s="263">
        <f t="shared" si="17"/>
        <v>169744</v>
      </c>
    </row>
    <row r="421" spans="1:11">
      <c r="A421" s="179" t="s">
        <v>429</v>
      </c>
      <c r="B421" s="179" t="s">
        <v>518</v>
      </c>
      <c r="C421" s="186">
        <v>39143</v>
      </c>
      <c r="D421" s="188">
        <f t="shared" si="16"/>
        <v>2007</v>
      </c>
      <c r="E421" s="183" t="s">
        <v>534</v>
      </c>
      <c r="F421" s="178">
        <v>300</v>
      </c>
      <c r="G421" s="178">
        <v>6732</v>
      </c>
      <c r="H421" s="178">
        <v>3066</v>
      </c>
      <c r="I421" s="178">
        <v>3666</v>
      </c>
      <c r="J421" s="32">
        <v>413</v>
      </c>
      <c r="K421" s="263">
        <f t="shared" si="17"/>
        <v>170569</v>
      </c>
    </row>
    <row r="422" spans="1:11">
      <c r="A422" s="179" t="s">
        <v>429</v>
      </c>
      <c r="B422" s="179" t="s">
        <v>518</v>
      </c>
      <c r="C422" s="186">
        <v>39150</v>
      </c>
      <c r="D422" s="188">
        <f t="shared" si="16"/>
        <v>2007</v>
      </c>
      <c r="E422" s="183" t="s">
        <v>532</v>
      </c>
      <c r="F422" s="178">
        <v>700</v>
      </c>
      <c r="G422" s="178">
        <v>15715</v>
      </c>
      <c r="H422" s="178">
        <v>7154</v>
      </c>
      <c r="I422" s="178">
        <v>8561</v>
      </c>
      <c r="J422" s="32">
        <v>414</v>
      </c>
      <c r="K422" s="263">
        <f t="shared" si="17"/>
        <v>171396</v>
      </c>
    </row>
    <row r="423" spans="1:11">
      <c r="A423" s="179" t="s">
        <v>429</v>
      </c>
      <c r="B423" s="179" t="s">
        <v>517</v>
      </c>
      <c r="C423" s="186">
        <v>39152</v>
      </c>
      <c r="D423" s="188">
        <f t="shared" si="16"/>
        <v>2007</v>
      </c>
      <c r="E423" s="183" t="s">
        <v>537</v>
      </c>
      <c r="F423" s="178">
        <v>700</v>
      </c>
      <c r="G423" s="178">
        <v>14133</v>
      </c>
      <c r="H423" s="178">
        <v>5929</v>
      </c>
      <c r="I423" s="178">
        <v>8204</v>
      </c>
      <c r="J423" s="32">
        <v>415</v>
      </c>
      <c r="K423" s="263">
        <f t="shared" si="17"/>
        <v>172225</v>
      </c>
    </row>
    <row r="424" spans="1:11">
      <c r="A424" s="179" t="s">
        <v>429</v>
      </c>
      <c r="B424" s="179" t="s">
        <v>516</v>
      </c>
      <c r="C424" s="186">
        <v>39153</v>
      </c>
      <c r="D424" s="188">
        <f t="shared" si="16"/>
        <v>2007</v>
      </c>
      <c r="E424" s="183" t="s">
        <v>525</v>
      </c>
      <c r="F424" s="178">
        <v>600</v>
      </c>
      <c r="G424" s="178">
        <v>12690</v>
      </c>
      <c r="H424" s="178">
        <v>5904</v>
      </c>
      <c r="I424" s="178">
        <v>6786</v>
      </c>
      <c r="J424" s="32">
        <v>416</v>
      </c>
      <c r="K424" s="263">
        <f t="shared" si="17"/>
        <v>173056</v>
      </c>
    </row>
    <row r="425" spans="1:11">
      <c r="A425" s="179" t="s">
        <v>528</v>
      </c>
      <c r="B425" s="179" t="s">
        <v>518</v>
      </c>
      <c r="C425" s="186">
        <v>39153</v>
      </c>
      <c r="D425" s="188">
        <f t="shared" si="16"/>
        <v>2007</v>
      </c>
      <c r="E425" s="183" t="s">
        <v>531</v>
      </c>
      <c r="F425" s="178">
        <v>900</v>
      </c>
      <c r="G425" s="178">
        <v>21159</v>
      </c>
      <c r="H425" s="178">
        <v>9198</v>
      </c>
      <c r="I425" s="178">
        <v>11961</v>
      </c>
      <c r="J425" s="32">
        <v>417</v>
      </c>
      <c r="K425" s="263">
        <f t="shared" si="17"/>
        <v>173889</v>
      </c>
    </row>
    <row r="426" spans="1:11">
      <c r="A426" s="179" t="s">
        <v>423</v>
      </c>
      <c r="B426" s="179" t="s">
        <v>516</v>
      </c>
      <c r="C426" s="186">
        <v>39153</v>
      </c>
      <c r="D426" s="188">
        <f t="shared" si="16"/>
        <v>2007</v>
      </c>
      <c r="E426" s="183" t="s">
        <v>534</v>
      </c>
      <c r="F426" s="178">
        <v>1000</v>
      </c>
      <c r="G426" s="178">
        <v>20190</v>
      </c>
      <c r="H426" s="178">
        <v>9840</v>
      </c>
      <c r="I426" s="178">
        <v>10350</v>
      </c>
      <c r="J426" s="32">
        <v>418</v>
      </c>
      <c r="K426" s="263">
        <f t="shared" si="17"/>
        <v>174724</v>
      </c>
    </row>
    <row r="427" spans="1:11">
      <c r="A427" s="179" t="s">
        <v>423</v>
      </c>
      <c r="B427" s="179" t="s">
        <v>516</v>
      </c>
      <c r="C427" s="186">
        <v>39154</v>
      </c>
      <c r="D427" s="188">
        <f t="shared" si="16"/>
        <v>2007</v>
      </c>
      <c r="E427" s="183" t="s">
        <v>531</v>
      </c>
      <c r="F427" s="178">
        <v>200</v>
      </c>
      <c r="G427" s="178">
        <v>4412</v>
      </c>
      <c r="H427" s="178">
        <v>1968</v>
      </c>
      <c r="I427" s="178">
        <v>2444</v>
      </c>
      <c r="J427" s="32">
        <v>419</v>
      </c>
      <c r="K427" s="263">
        <f t="shared" si="17"/>
        <v>175561</v>
      </c>
    </row>
    <row r="428" spans="1:11">
      <c r="A428" s="179" t="s">
        <v>429</v>
      </c>
      <c r="B428" s="179" t="s">
        <v>518</v>
      </c>
      <c r="C428" s="186">
        <v>39155</v>
      </c>
      <c r="D428" s="188">
        <f t="shared" si="16"/>
        <v>2007</v>
      </c>
      <c r="E428" s="183" t="s">
        <v>533</v>
      </c>
      <c r="F428" s="178">
        <v>700</v>
      </c>
      <c r="G428" s="178">
        <v>17059</v>
      </c>
      <c r="H428" s="178">
        <v>7154</v>
      </c>
      <c r="I428" s="178">
        <v>9905</v>
      </c>
      <c r="J428" s="32">
        <v>420</v>
      </c>
      <c r="K428" s="263">
        <f t="shared" si="17"/>
        <v>176400</v>
      </c>
    </row>
    <row r="429" spans="1:11">
      <c r="A429" s="179" t="s">
        <v>429</v>
      </c>
      <c r="B429" s="179" t="s">
        <v>518</v>
      </c>
      <c r="C429" s="186">
        <v>39156</v>
      </c>
      <c r="D429" s="188">
        <f t="shared" si="16"/>
        <v>2007</v>
      </c>
      <c r="E429" s="183" t="s">
        <v>525</v>
      </c>
      <c r="F429" s="178">
        <v>500</v>
      </c>
      <c r="G429" s="178">
        <v>10990</v>
      </c>
      <c r="H429" s="178">
        <v>5110</v>
      </c>
      <c r="I429" s="178">
        <v>5880</v>
      </c>
      <c r="J429" s="32">
        <v>421</v>
      </c>
      <c r="K429" s="263">
        <f t="shared" si="17"/>
        <v>177241</v>
      </c>
    </row>
    <row r="430" spans="1:11">
      <c r="A430" s="179" t="s">
        <v>528</v>
      </c>
      <c r="B430" s="179" t="s">
        <v>517</v>
      </c>
      <c r="C430" s="186">
        <v>39156</v>
      </c>
      <c r="D430" s="188">
        <f t="shared" si="16"/>
        <v>2007</v>
      </c>
      <c r="E430" s="183" t="s">
        <v>533</v>
      </c>
      <c r="F430" s="178">
        <v>1000</v>
      </c>
      <c r="G430" s="178">
        <v>17200</v>
      </c>
      <c r="H430" s="178">
        <v>8470</v>
      </c>
      <c r="I430" s="178">
        <v>8730</v>
      </c>
      <c r="J430" s="32">
        <v>422</v>
      </c>
      <c r="K430" s="263">
        <f t="shared" si="17"/>
        <v>178084</v>
      </c>
    </row>
    <row r="431" spans="1:11">
      <c r="A431" s="179" t="s">
        <v>429</v>
      </c>
      <c r="B431" s="179" t="s">
        <v>517</v>
      </c>
      <c r="C431" s="186">
        <v>39156</v>
      </c>
      <c r="D431" s="188">
        <f t="shared" si="16"/>
        <v>2007</v>
      </c>
      <c r="E431" s="183" t="s">
        <v>532</v>
      </c>
      <c r="F431" s="178">
        <v>700</v>
      </c>
      <c r="G431" s="178">
        <v>13139</v>
      </c>
      <c r="H431" s="178">
        <v>5929</v>
      </c>
      <c r="I431" s="178">
        <v>7210</v>
      </c>
      <c r="J431" s="32">
        <v>423</v>
      </c>
      <c r="K431" s="263">
        <f t="shared" si="17"/>
        <v>178929</v>
      </c>
    </row>
    <row r="432" spans="1:11">
      <c r="A432" s="179" t="s">
        <v>423</v>
      </c>
      <c r="B432" s="179" t="s">
        <v>517</v>
      </c>
      <c r="C432" s="186">
        <v>39157</v>
      </c>
      <c r="D432" s="188">
        <f t="shared" si="16"/>
        <v>2007</v>
      </c>
      <c r="E432" s="183" t="s">
        <v>532</v>
      </c>
      <c r="F432" s="178">
        <v>300</v>
      </c>
      <c r="G432" s="178">
        <v>6207</v>
      </c>
      <c r="H432" s="178">
        <v>2541</v>
      </c>
      <c r="I432" s="178">
        <v>3666</v>
      </c>
      <c r="J432" s="32">
        <v>424</v>
      </c>
      <c r="K432" s="263">
        <f t="shared" si="17"/>
        <v>179776</v>
      </c>
    </row>
    <row r="433" spans="1:11">
      <c r="A433" s="179" t="s">
        <v>528</v>
      </c>
      <c r="B433" s="179" t="s">
        <v>516</v>
      </c>
      <c r="C433" s="186">
        <v>39159</v>
      </c>
      <c r="D433" s="188">
        <f t="shared" si="16"/>
        <v>2007</v>
      </c>
      <c r="E433" s="183" t="s">
        <v>544</v>
      </c>
      <c r="F433" s="178">
        <v>200</v>
      </c>
      <c r="G433" s="178">
        <v>4270</v>
      </c>
      <c r="H433" s="178">
        <v>1968</v>
      </c>
      <c r="I433" s="178">
        <v>2302</v>
      </c>
      <c r="J433" s="32">
        <v>425</v>
      </c>
      <c r="K433" s="263">
        <f t="shared" si="17"/>
        <v>180625</v>
      </c>
    </row>
    <row r="434" spans="1:11">
      <c r="A434" s="179" t="s">
        <v>528</v>
      </c>
      <c r="B434" s="179" t="s">
        <v>516</v>
      </c>
      <c r="C434" s="186">
        <v>39161</v>
      </c>
      <c r="D434" s="188">
        <f t="shared" si="16"/>
        <v>2007</v>
      </c>
      <c r="E434" s="183" t="s">
        <v>532</v>
      </c>
      <c r="F434" s="178">
        <v>600</v>
      </c>
      <c r="G434" s="178">
        <v>14004</v>
      </c>
      <c r="H434" s="178">
        <v>5904</v>
      </c>
      <c r="I434" s="178">
        <v>8100</v>
      </c>
      <c r="J434" s="32">
        <v>426</v>
      </c>
      <c r="K434" s="263">
        <f t="shared" si="17"/>
        <v>181476</v>
      </c>
    </row>
    <row r="435" spans="1:11">
      <c r="A435" s="179" t="s">
        <v>429</v>
      </c>
      <c r="B435" s="179" t="s">
        <v>516</v>
      </c>
      <c r="C435" s="186">
        <v>39161</v>
      </c>
      <c r="D435" s="188">
        <f t="shared" si="16"/>
        <v>2007</v>
      </c>
      <c r="E435" s="183" t="s">
        <v>532</v>
      </c>
      <c r="F435" s="178">
        <v>900</v>
      </c>
      <c r="G435" s="178">
        <v>20403</v>
      </c>
      <c r="H435" s="178">
        <v>8856</v>
      </c>
      <c r="I435" s="178">
        <v>11547</v>
      </c>
      <c r="J435" s="32">
        <v>427</v>
      </c>
      <c r="K435" s="263">
        <f t="shared" si="17"/>
        <v>182329</v>
      </c>
    </row>
    <row r="436" spans="1:11">
      <c r="A436" s="179" t="s">
        <v>528</v>
      </c>
      <c r="B436" s="179" t="s">
        <v>516</v>
      </c>
      <c r="C436" s="186">
        <v>39167</v>
      </c>
      <c r="D436" s="188">
        <f t="shared" si="16"/>
        <v>2007</v>
      </c>
      <c r="E436" s="183" t="s">
        <v>525</v>
      </c>
      <c r="F436" s="178">
        <v>1000</v>
      </c>
      <c r="G436" s="178">
        <v>20020</v>
      </c>
      <c r="H436" s="178">
        <v>9840</v>
      </c>
      <c r="I436" s="178">
        <v>10180</v>
      </c>
      <c r="J436" s="32">
        <v>428</v>
      </c>
      <c r="K436" s="263">
        <f t="shared" si="17"/>
        <v>183184</v>
      </c>
    </row>
    <row r="437" spans="1:11">
      <c r="A437" s="179" t="s">
        <v>423</v>
      </c>
      <c r="B437" s="179" t="s">
        <v>517</v>
      </c>
      <c r="C437" s="186">
        <v>39170</v>
      </c>
      <c r="D437" s="188">
        <f t="shared" si="16"/>
        <v>2007</v>
      </c>
      <c r="E437" s="183" t="s">
        <v>529</v>
      </c>
      <c r="F437" s="178">
        <v>800</v>
      </c>
      <c r="G437" s="178">
        <v>14216</v>
      </c>
      <c r="H437" s="178">
        <v>6776</v>
      </c>
      <c r="I437" s="178">
        <v>7440</v>
      </c>
      <c r="J437" s="32">
        <v>429</v>
      </c>
      <c r="K437" s="263">
        <f t="shared" si="17"/>
        <v>184041</v>
      </c>
    </row>
    <row r="438" spans="1:11">
      <c r="A438" s="179" t="s">
        <v>429</v>
      </c>
      <c r="B438" s="179" t="s">
        <v>516</v>
      </c>
      <c r="C438" s="186">
        <v>39172</v>
      </c>
      <c r="D438" s="188">
        <f t="shared" si="16"/>
        <v>2007</v>
      </c>
      <c r="E438" s="183" t="s">
        <v>532</v>
      </c>
      <c r="F438" s="178">
        <v>700</v>
      </c>
      <c r="G438" s="178">
        <v>16772</v>
      </c>
      <c r="H438" s="178">
        <v>6888</v>
      </c>
      <c r="I438" s="178">
        <v>9884</v>
      </c>
      <c r="J438" s="32">
        <v>430</v>
      </c>
      <c r="K438" s="263">
        <f t="shared" si="17"/>
        <v>184900</v>
      </c>
    </row>
    <row r="439" spans="1:11">
      <c r="A439" s="179" t="s">
        <v>429</v>
      </c>
      <c r="B439" s="179" t="s">
        <v>518</v>
      </c>
      <c r="C439" s="186">
        <v>39173</v>
      </c>
      <c r="D439" s="188">
        <f t="shared" si="16"/>
        <v>2007</v>
      </c>
      <c r="E439" s="183" t="s">
        <v>539</v>
      </c>
      <c r="F439" s="178">
        <v>900</v>
      </c>
      <c r="G439" s="178">
        <v>21015</v>
      </c>
      <c r="H439" s="178">
        <v>9198</v>
      </c>
      <c r="I439" s="178">
        <v>11817</v>
      </c>
      <c r="J439" s="32">
        <v>431</v>
      </c>
      <c r="K439" s="263">
        <f t="shared" si="17"/>
        <v>185761</v>
      </c>
    </row>
    <row r="440" spans="1:11">
      <c r="A440" s="179" t="s">
        <v>423</v>
      </c>
      <c r="B440" s="179" t="s">
        <v>517</v>
      </c>
      <c r="C440" s="186">
        <v>39174</v>
      </c>
      <c r="D440" s="188">
        <f t="shared" si="16"/>
        <v>2007</v>
      </c>
      <c r="E440" s="183" t="s">
        <v>550</v>
      </c>
      <c r="F440" s="178">
        <v>200</v>
      </c>
      <c r="G440" s="178">
        <v>3552</v>
      </c>
      <c r="H440" s="178">
        <v>1694</v>
      </c>
      <c r="I440" s="178">
        <v>1858</v>
      </c>
      <c r="J440" s="32">
        <v>432</v>
      </c>
      <c r="K440" s="263">
        <f t="shared" si="17"/>
        <v>186624</v>
      </c>
    </row>
    <row r="441" spans="1:11">
      <c r="A441" s="179" t="s">
        <v>423</v>
      </c>
      <c r="B441" s="179" t="s">
        <v>518</v>
      </c>
      <c r="C441" s="186">
        <v>39177</v>
      </c>
      <c r="D441" s="188">
        <f t="shared" si="16"/>
        <v>2007</v>
      </c>
      <c r="E441" s="183" t="s">
        <v>530</v>
      </c>
      <c r="F441" s="178">
        <v>1000</v>
      </c>
      <c r="G441" s="178">
        <v>25010</v>
      </c>
      <c r="H441" s="178">
        <v>10220</v>
      </c>
      <c r="I441" s="178">
        <v>14790</v>
      </c>
      <c r="J441" s="32">
        <v>433</v>
      </c>
      <c r="K441" s="263">
        <f t="shared" si="17"/>
        <v>187489</v>
      </c>
    </row>
    <row r="442" spans="1:11">
      <c r="A442" s="179" t="s">
        <v>429</v>
      </c>
      <c r="B442" s="179" t="s">
        <v>518</v>
      </c>
      <c r="C442" s="186">
        <v>39178</v>
      </c>
      <c r="D442" s="188">
        <f t="shared" si="16"/>
        <v>2007</v>
      </c>
      <c r="E442" s="183" t="s">
        <v>531</v>
      </c>
      <c r="F442" s="178">
        <v>600</v>
      </c>
      <c r="G442" s="178">
        <v>14178</v>
      </c>
      <c r="H442" s="178">
        <v>6132</v>
      </c>
      <c r="I442" s="178">
        <v>8046</v>
      </c>
      <c r="J442" s="32">
        <v>434</v>
      </c>
      <c r="K442" s="263">
        <f t="shared" si="17"/>
        <v>188356</v>
      </c>
    </row>
    <row r="443" spans="1:11">
      <c r="A443" s="179" t="s">
        <v>528</v>
      </c>
      <c r="B443" s="179" t="s">
        <v>516</v>
      </c>
      <c r="C443" s="186">
        <v>39179</v>
      </c>
      <c r="D443" s="188">
        <f t="shared" si="16"/>
        <v>2007</v>
      </c>
      <c r="E443" s="183" t="s">
        <v>523</v>
      </c>
      <c r="F443" s="178">
        <v>200</v>
      </c>
      <c r="G443" s="178">
        <v>4280</v>
      </c>
      <c r="H443" s="178">
        <v>1968</v>
      </c>
      <c r="I443" s="178">
        <v>2312</v>
      </c>
      <c r="J443" s="32">
        <v>435</v>
      </c>
      <c r="K443" s="263">
        <f t="shared" si="17"/>
        <v>189225</v>
      </c>
    </row>
    <row r="444" spans="1:11">
      <c r="A444" s="179" t="s">
        <v>528</v>
      </c>
      <c r="B444" s="179" t="s">
        <v>518</v>
      </c>
      <c r="C444" s="186">
        <v>39179</v>
      </c>
      <c r="D444" s="188">
        <f t="shared" si="16"/>
        <v>2007</v>
      </c>
      <c r="E444" s="183" t="s">
        <v>534</v>
      </c>
      <c r="F444" s="178">
        <v>900</v>
      </c>
      <c r="G444" s="178">
        <v>21366</v>
      </c>
      <c r="H444" s="178">
        <v>9198</v>
      </c>
      <c r="I444" s="178">
        <v>12168</v>
      </c>
      <c r="J444" s="32">
        <v>436</v>
      </c>
      <c r="K444" s="263">
        <f t="shared" si="17"/>
        <v>190096</v>
      </c>
    </row>
    <row r="445" spans="1:11">
      <c r="A445" s="179" t="s">
        <v>423</v>
      </c>
      <c r="B445" s="179" t="s">
        <v>517</v>
      </c>
      <c r="C445" s="186">
        <v>39179</v>
      </c>
      <c r="D445" s="188">
        <f t="shared" si="16"/>
        <v>2007</v>
      </c>
      <c r="E445" s="183" t="s">
        <v>548</v>
      </c>
      <c r="F445" s="178">
        <v>1000</v>
      </c>
      <c r="G445" s="178">
        <v>17190</v>
      </c>
      <c r="H445" s="178">
        <v>8470</v>
      </c>
      <c r="I445" s="178">
        <v>8720</v>
      </c>
      <c r="J445" s="32">
        <v>437</v>
      </c>
      <c r="K445" s="263">
        <f t="shared" si="17"/>
        <v>190969</v>
      </c>
    </row>
    <row r="446" spans="1:11">
      <c r="A446" s="179" t="s">
        <v>528</v>
      </c>
      <c r="B446" s="179" t="s">
        <v>517</v>
      </c>
      <c r="C446" s="186">
        <v>39182</v>
      </c>
      <c r="D446" s="188">
        <f t="shared" si="16"/>
        <v>2007</v>
      </c>
      <c r="E446" s="183" t="s">
        <v>524</v>
      </c>
      <c r="F446" s="178">
        <v>300</v>
      </c>
      <c r="G446" s="178">
        <v>6309</v>
      </c>
      <c r="H446" s="178">
        <v>2541</v>
      </c>
      <c r="I446" s="178">
        <v>3768</v>
      </c>
      <c r="J446" s="32">
        <v>438</v>
      </c>
      <c r="K446" s="263">
        <f t="shared" si="17"/>
        <v>191844</v>
      </c>
    </row>
    <row r="447" spans="1:11">
      <c r="A447" s="179" t="s">
        <v>429</v>
      </c>
      <c r="B447" s="179" t="s">
        <v>516</v>
      </c>
      <c r="C447" s="186">
        <v>39182</v>
      </c>
      <c r="D447" s="188">
        <f t="shared" si="16"/>
        <v>2007</v>
      </c>
      <c r="E447" s="183" t="s">
        <v>532</v>
      </c>
      <c r="F447" s="178">
        <v>300</v>
      </c>
      <c r="G447" s="178">
        <v>6477</v>
      </c>
      <c r="H447" s="178">
        <v>2952</v>
      </c>
      <c r="I447" s="178">
        <v>3525</v>
      </c>
      <c r="J447" s="32">
        <v>439</v>
      </c>
      <c r="K447" s="263">
        <f t="shared" si="17"/>
        <v>192721</v>
      </c>
    </row>
    <row r="448" spans="1:11">
      <c r="A448" s="179" t="s">
        <v>528</v>
      </c>
      <c r="B448" s="179" t="s">
        <v>517</v>
      </c>
      <c r="C448" s="186">
        <v>39183</v>
      </c>
      <c r="D448" s="188">
        <f t="shared" si="16"/>
        <v>2007</v>
      </c>
      <c r="E448" s="183" t="s">
        <v>532</v>
      </c>
      <c r="F448" s="178">
        <v>100</v>
      </c>
      <c r="G448" s="178">
        <v>2012</v>
      </c>
      <c r="H448" s="178">
        <v>847</v>
      </c>
      <c r="I448" s="178">
        <v>1165</v>
      </c>
      <c r="J448" s="32">
        <v>440</v>
      </c>
      <c r="K448" s="263">
        <f t="shared" si="17"/>
        <v>193600</v>
      </c>
    </row>
    <row r="449" spans="1:11">
      <c r="A449" s="179" t="s">
        <v>429</v>
      </c>
      <c r="B449" s="179" t="s">
        <v>516</v>
      </c>
      <c r="C449" s="186">
        <v>39186</v>
      </c>
      <c r="D449" s="188">
        <f t="shared" si="16"/>
        <v>2007</v>
      </c>
      <c r="E449" s="183" t="s">
        <v>531</v>
      </c>
      <c r="F449" s="178">
        <v>400</v>
      </c>
      <c r="G449" s="178">
        <v>8632</v>
      </c>
      <c r="H449" s="178">
        <v>3936</v>
      </c>
      <c r="I449" s="178">
        <v>4696</v>
      </c>
      <c r="J449" s="32">
        <v>441</v>
      </c>
      <c r="K449" s="263">
        <f t="shared" si="17"/>
        <v>194481</v>
      </c>
    </row>
    <row r="450" spans="1:11">
      <c r="A450" s="179" t="s">
        <v>429</v>
      </c>
      <c r="B450" s="179" t="s">
        <v>516</v>
      </c>
      <c r="C450" s="186">
        <v>39187</v>
      </c>
      <c r="D450" s="188">
        <f t="shared" si="16"/>
        <v>2007</v>
      </c>
      <c r="E450" s="183" t="s">
        <v>525</v>
      </c>
      <c r="F450" s="178">
        <v>600</v>
      </c>
      <c r="G450" s="178">
        <v>12756</v>
      </c>
      <c r="H450" s="178">
        <v>5904</v>
      </c>
      <c r="I450" s="178">
        <v>6852</v>
      </c>
      <c r="J450" s="32">
        <v>442</v>
      </c>
      <c r="K450" s="263">
        <f t="shared" si="17"/>
        <v>195364</v>
      </c>
    </row>
    <row r="451" spans="1:11">
      <c r="A451" s="179" t="s">
        <v>429</v>
      </c>
      <c r="B451" s="179" t="s">
        <v>518</v>
      </c>
      <c r="C451" s="186">
        <v>39198</v>
      </c>
      <c r="D451" s="188">
        <f t="shared" si="16"/>
        <v>2007</v>
      </c>
      <c r="E451" s="183" t="s">
        <v>537</v>
      </c>
      <c r="F451" s="178">
        <v>700</v>
      </c>
      <c r="G451" s="178">
        <v>15225</v>
      </c>
      <c r="H451" s="178">
        <v>7154</v>
      </c>
      <c r="I451" s="178">
        <v>8071</v>
      </c>
      <c r="J451" s="32">
        <v>443</v>
      </c>
      <c r="K451" s="263">
        <f t="shared" si="17"/>
        <v>196249</v>
      </c>
    </row>
    <row r="452" spans="1:11">
      <c r="A452" s="179" t="s">
        <v>423</v>
      </c>
      <c r="B452" s="179" t="s">
        <v>518</v>
      </c>
      <c r="C452" s="186">
        <v>39198</v>
      </c>
      <c r="D452" s="188">
        <f t="shared" si="16"/>
        <v>2007</v>
      </c>
      <c r="E452" s="183" t="s">
        <v>537</v>
      </c>
      <c r="F452" s="178">
        <v>800</v>
      </c>
      <c r="G452" s="178">
        <v>19288</v>
      </c>
      <c r="H452" s="178">
        <v>8176</v>
      </c>
      <c r="I452" s="178">
        <v>11112</v>
      </c>
      <c r="J452" s="32">
        <v>444</v>
      </c>
      <c r="K452" s="263">
        <f t="shared" si="17"/>
        <v>197136</v>
      </c>
    </row>
    <row r="453" spans="1:11">
      <c r="A453" s="179" t="s">
        <v>423</v>
      </c>
      <c r="B453" s="179" t="s">
        <v>518</v>
      </c>
      <c r="C453" s="186">
        <v>39200</v>
      </c>
      <c r="D453" s="188">
        <f t="shared" si="16"/>
        <v>2007</v>
      </c>
      <c r="E453" s="183" t="s">
        <v>538</v>
      </c>
      <c r="F453" s="178">
        <v>800</v>
      </c>
      <c r="G453" s="178">
        <v>20408</v>
      </c>
      <c r="H453" s="178">
        <v>8176</v>
      </c>
      <c r="I453" s="178">
        <v>12232</v>
      </c>
      <c r="J453" s="32">
        <v>445</v>
      </c>
      <c r="K453" s="263">
        <f t="shared" si="17"/>
        <v>198025</v>
      </c>
    </row>
    <row r="454" spans="1:11">
      <c r="A454" s="179" t="s">
        <v>429</v>
      </c>
      <c r="B454" s="179" t="s">
        <v>517</v>
      </c>
      <c r="C454" s="186">
        <v>39201</v>
      </c>
      <c r="D454" s="188">
        <f t="shared" si="16"/>
        <v>2007</v>
      </c>
      <c r="E454" s="183" t="s">
        <v>531</v>
      </c>
      <c r="F454" s="178">
        <v>400</v>
      </c>
      <c r="G454" s="178">
        <v>8164</v>
      </c>
      <c r="H454" s="178">
        <v>3388</v>
      </c>
      <c r="I454" s="178">
        <v>4776</v>
      </c>
      <c r="J454" s="32">
        <v>446</v>
      </c>
      <c r="K454" s="263">
        <f t="shared" si="17"/>
        <v>198916</v>
      </c>
    </row>
    <row r="455" spans="1:11">
      <c r="A455" s="179" t="s">
        <v>528</v>
      </c>
      <c r="B455" s="179" t="s">
        <v>516</v>
      </c>
      <c r="C455" s="186">
        <v>39203</v>
      </c>
      <c r="D455" s="188">
        <f t="shared" si="16"/>
        <v>2007</v>
      </c>
      <c r="E455" s="183" t="s">
        <v>534</v>
      </c>
      <c r="F455" s="178">
        <v>800</v>
      </c>
      <c r="G455" s="178">
        <v>17944</v>
      </c>
      <c r="H455" s="178">
        <v>7872</v>
      </c>
      <c r="I455" s="178">
        <v>10072</v>
      </c>
      <c r="J455" s="32">
        <v>447</v>
      </c>
      <c r="K455" s="263">
        <f t="shared" si="17"/>
        <v>199809</v>
      </c>
    </row>
    <row r="456" spans="1:11">
      <c r="A456" s="179" t="s">
        <v>429</v>
      </c>
      <c r="B456" s="179" t="s">
        <v>518</v>
      </c>
      <c r="C456" s="186">
        <v>39206</v>
      </c>
      <c r="D456" s="188">
        <f t="shared" si="16"/>
        <v>2007</v>
      </c>
      <c r="E456" s="183" t="s">
        <v>530</v>
      </c>
      <c r="F456" s="178">
        <v>500</v>
      </c>
      <c r="G456" s="178">
        <v>10940</v>
      </c>
      <c r="H456" s="178">
        <v>5110</v>
      </c>
      <c r="I456" s="178">
        <v>5830</v>
      </c>
      <c r="J456" s="32">
        <v>448</v>
      </c>
      <c r="K456" s="263">
        <f t="shared" si="17"/>
        <v>200704</v>
      </c>
    </row>
    <row r="457" spans="1:11">
      <c r="A457" s="179" t="s">
        <v>528</v>
      </c>
      <c r="B457" s="179" t="s">
        <v>516</v>
      </c>
      <c r="C457" s="186">
        <v>39208</v>
      </c>
      <c r="D457" s="188">
        <f t="shared" ref="D457:D520" si="18">YEAR(C457)</f>
        <v>2007</v>
      </c>
      <c r="E457" s="183" t="s">
        <v>537</v>
      </c>
      <c r="F457" s="178">
        <v>1000</v>
      </c>
      <c r="G457" s="178">
        <v>23970</v>
      </c>
      <c r="H457" s="178">
        <v>9840</v>
      </c>
      <c r="I457" s="178">
        <v>14130</v>
      </c>
      <c r="J457" s="32">
        <v>449</v>
      </c>
      <c r="K457" s="263">
        <f t="shared" si="17"/>
        <v>201601</v>
      </c>
    </row>
    <row r="458" spans="1:11">
      <c r="A458" s="179" t="s">
        <v>423</v>
      </c>
      <c r="B458" s="179" t="s">
        <v>517</v>
      </c>
      <c r="C458" s="186">
        <v>39210</v>
      </c>
      <c r="D458" s="188">
        <f t="shared" si="18"/>
        <v>2007</v>
      </c>
      <c r="E458" s="183" t="s">
        <v>531</v>
      </c>
      <c r="F458" s="178">
        <v>700</v>
      </c>
      <c r="G458" s="178">
        <v>14105</v>
      </c>
      <c r="H458" s="178">
        <v>5929</v>
      </c>
      <c r="I458" s="178">
        <v>8176</v>
      </c>
      <c r="J458" s="32">
        <v>450</v>
      </c>
      <c r="K458" s="263">
        <f t="shared" ref="K458:K521" si="19">J458*J458</f>
        <v>202500</v>
      </c>
    </row>
    <row r="459" spans="1:11">
      <c r="A459" s="179" t="s">
        <v>528</v>
      </c>
      <c r="B459" s="179" t="s">
        <v>518</v>
      </c>
      <c r="C459" s="186">
        <v>39211</v>
      </c>
      <c r="D459" s="188">
        <f t="shared" si="18"/>
        <v>2007</v>
      </c>
      <c r="E459" s="183" t="s">
        <v>529</v>
      </c>
      <c r="F459" s="178">
        <v>800</v>
      </c>
      <c r="G459" s="178">
        <v>18344</v>
      </c>
      <c r="H459" s="178">
        <v>8176</v>
      </c>
      <c r="I459" s="178">
        <v>10168</v>
      </c>
      <c r="J459" s="32">
        <v>451</v>
      </c>
      <c r="K459" s="263">
        <f t="shared" si="19"/>
        <v>203401</v>
      </c>
    </row>
    <row r="460" spans="1:11">
      <c r="A460" s="179" t="s">
        <v>423</v>
      </c>
      <c r="B460" s="179" t="s">
        <v>518</v>
      </c>
      <c r="C460" s="186">
        <v>39211</v>
      </c>
      <c r="D460" s="188">
        <f t="shared" si="18"/>
        <v>2007</v>
      </c>
      <c r="E460" s="183" t="s">
        <v>548</v>
      </c>
      <c r="F460" s="178">
        <v>1000</v>
      </c>
      <c r="G460" s="178">
        <v>23890</v>
      </c>
      <c r="H460" s="178">
        <v>10220</v>
      </c>
      <c r="I460" s="178">
        <v>13670</v>
      </c>
      <c r="J460" s="32">
        <v>452</v>
      </c>
      <c r="K460" s="263">
        <f t="shared" si="19"/>
        <v>204304</v>
      </c>
    </row>
    <row r="461" spans="1:11">
      <c r="A461" s="179" t="s">
        <v>429</v>
      </c>
      <c r="B461" s="179" t="s">
        <v>517</v>
      </c>
      <c r="C461" s="186">
        <v>39214</v>
      </c>
      <c r="D461" s="188">
        <f t="shared" si="18"/>
        <v>2007</v>
      </c>
      <c r="E461" s="183" t="s">
        <v>525</v>
      </c>
      <c r="F461" s="178">
        <v>1000</v>
      </c>
      <c r="G461" s="178">
        <v>20310</v>
      </c>
      <c r="H461" s="178">
        <v>8470</v>
      </c>
      <c r="I461" s="178">
        <v>11840</v>
      </c>
      <c r="J461" s="32">
        <v>453</v>
      </c>
      <c r="K461" s="263">
        <f t="shared" si="19"/>
        <v>205209</v>
      </c>
    </row>
    <row r="462" spans="1:11">
      <c r="A462" s="179" t="s">
        <v>423</v>
      </c>
      <c r="B462" s="179" t="s">
        <v>518</v>
      </c>
      <c r="C462" s="186">
        <v>39215</v>
      </c>
      <c r="D462" s="188">
        <f t="shared" si="18"/>
        <v>2007</v>
      </c>
      <c r="E462" s="183" t="s">
        <v>537</v>
      </c>
      <c r="F462" s="178">
        <v>400</v>
      </c>
      <c r="G462" s="178">
        <v>9384</v>
      </c>
      <c r="H462" s="178">
        <v>4088</v>
      </c>
      <c r="I462" s="178">
        <v>5296</v>
      </c>
      <c r="J462" s="32">
        <v>454</v>
      </c>
      <c r="K462" s="263">
        <f t="shared" si="19"/>
        <v>206116</v>
      </c>
    </row>
    <row r="463" spans="1:11">
      <c r="A463" s="179" t="s">
        <v>528</v>
      </c>
      <c r="B463" s="179" t="s">
        <v>517</v>
      </c>
      <c r="C463" s="186">
        <v>39217</v>
      </c>
      <c r="D463" s="188">
        <f t="shared" si="18"/>
        <v>2007</v>
      </c>
      <c r="E463" s="183" t="s">
        <v>532</v>
      </c>
      <c r="F463" s="178">
        <v>500</v>
      </c>
      <c r="G463" s="178">
        <v>10385</v>
      </c>
      <c r="H463" s="178">
        <v>4235</v>
      </c>
      <c r="I463" s="178">
        <v>6150</v>
      </c>
      <c r="J463" s="32">
        <v>455</v>
      </c>
      <c r="K463" s="263">
        <f t="shared" si="19"/>
        <v>207025</v>
      </c>
    </row>
    <row r="464" spans="1:11">
      <c r="A464" s="179" t="s">
        <v>528</v>
      </c>
      <c r="B464" s="179" t="s">
        <v>516</v>
      </c>
      <c r="C464" s="186">
        <v>39218</v>
      </c>
      <c r="D464" s="188">
        <f t="shared" si="18"/>
        <v>2007</v>
      </c>
      <c r="E464" s="183" t="s">
        <v>530</v>
      </c>
      <c r="F464" s="178">
        <v>300</v>
      </c>
      <c r="G464" s="178">
        <v>7053</v>
      </c>
      <c r="H464" s="178">
        <v>2952</v>
      </c>
      <c r="I464" s="178">
        <v>4101</v>
      </c>
      <c r="J464" s="32">
        <v>456</v>
      </c>
      <c r="K464" s="263">
        <f t="shared" si="19"/>
        <v>207936</v>
      </c>
    </row>
    <row r="465" spans="1:11">
      <c r="A465" s="179" t="s">
        <v>423</v>
      </c>
      <c r="B465" s="179" t="s">
        <v>517</v>
      </c>
      <c r="C465" s="186">
        <v>39218</v>
      </c>
      <c r="D465" s="188">
        <f t="shared" si="18"/>
        <v>2007</v>
      </c>
      <c r="E465" s="183" t="s">
        <v>530</v>
      </c>
      <c r="F465" s="178">
        <v>400</v>
      </c>
      <c r="G465" s="178">
        <v>8196</v>
      </c>
      <c r="H465" s="178">
        <v>3388</v>
      </c>
      <c r="I465" s="178">
        <v>4808</v>
      </c>
      <c r="J465" s="32">
        <v>457</v>
      </c>
      <c r="K465" s="263">
        <f t="shared" si="19"/>
        <v>208849</v>
      </c>
    </row>
    <row r="466" spans="1:11">
      <c r="A466" s="179" t="s">
        <v>423</v>
      </c>
      <c r="B466" s="179" t="s">
        <v>518</v>
      </c>
      <c r="C466" s="186">
        <v>39222</v>
      </c>
      <c r="D466" s="188">
        <f t="shared" si="18"/>
        <v>2007</v>
      </c>
      <c r="E466" s="183" t="s">
        <v>545</v>
      </c>
      <c r="F466" s="178">
        <v>800</v>
      </c>
      <c r="G466" s="178">
        <v>16936</v>
      </c>
      <c r="H466" s="178">
        <v>8176</v>
      </c>
      <c r="I466" s="178">
        <v>8760</v>
      </c>
      <c r="J466" s="32">
        <v>458</v>
      </c>
      <c r="K466" s="263">
        <f t="shared" si="19"/>
        <v>209764</v>
      </c>
    </row>
    <row r="467" spans="1:11">
      <c r="A467" s="179" t="s">
        <v>429</v>
      </c>
      <c r="B467" s="179" t="s">
        <v>518</v>
      </c>
      <c r="C467" s="186">
        <v>39222</v>
      </c>
      <c r="D467" s="188">
        <f t="shared" si="18"/>
        <v>2007</v>
      </c>
      <c r="E467" s="183" t="s">
        <v>531</v>
      </c>
      <c r="F467" s="178">
        <v>600</v>
      </c>
      <c r="G467" s="178">
        <v>13818</v>
      </c>
      <c r="H467" s="178">
        <v>6132</v>
      </c>
      <c r="I467" s="178">
        <v>7686</v>
      </c>
      <c r="J467" s="32">
        <v>459</v>
      </c>
      <c r="K467" s="263">
        <f t="shared" si="19"/>
        <v>210681</v>
      </c>
    </row>
    <row r="468" spans="1:11">
      <c r="A468" s="179" t="s">
        <v>429</v>
      </c>
      <c r="B468" s="179" t="s">
        <v>516</v>
      </c>
      <c r="C468" s="186">
        <v>39224</v>
      </c>
      <c r="D468" s="188">
        <f t="shared" si="18"/>
        <v>2007</v>
      </c>
      <c r="E468" s="183" t="s">
        <v>529</v>
      </c>
      <c r="F468" s="178">
        <v>600</v>
      </c>
      <c r="G468" s="178">
        <v>13206</v>
      </c>
      <c r="H468" s="178">
        <v>5904</v>
      </c>
      <c r="I468" s="178">
        <v>7302</v>
      </c>
      <c r="J468" s="32">
        <v>460</v>
      </c>
      <c r="K468" s="263">
        <f t="shared" si="19"/>
        <v>211600</v>
      </c>
    </row>
    <row r="469" spans="1:11">
      <c r="A469" s="179" t="s">
        <v>429</v>
      </c>
      <c r="B469" s="179" t="s">
        <v>516</v>
      </c>
      <c r="C469" s="186">
        <v>39224</v>
      </c>
      <c r="D469" s="188">
        <f t="shared" si="18"/>
        <v>2007</v>
      </c>
      <c r="E469" s="183" t="s">
        <v>532</v>
      </c>
      <c r="F469" s="178">
        <v>800</v>
      </c>
      <c r="G469" s="178">
        <v>17240</v>
      </c>
      <c r="H469" s="178">
        <v>7872</v>
      </c>
      <c r="I469" s="178">
        <v>9368</v>
      </c>
      <c r="J469" s="32">
        <v>461</v>
      </c>
      <c r="K469" s="263">
        <f t="shared" si="19"/>
        <v>212521</v>
      </c>
    </row>
    <row r="470" spans="1:11">
      <c r="A470" s="179" t="s">
        <v>429</v>
      </c>
      <c r="B470" s="179" t="s">
        <v>516</v>
      </c>
      <c r="C470" s="186">
        <v>39225</v>
      </c>
      <c r="D470" s="188">
        <f t="shared" si="18"/>
        <v>2007</v>
      </c>
      <c r="E470" s="183" t="s">
        <v>532</v>
      </c>
      <c r="F470" s="178">
        <v>400</v>
      </c>
      <c r="G470" s="178">
        <v>8708</v>
      </c>
      <c r="H470" s="178">
        <v>3936</v>
      </c>
      <c r="I470" s="178">
        <v>4772</v>
      </c>
      <c r="J470" s="32">
        <v>462</v>
      </c>
      <c r="K470" s="263">
        <f t="shared" si="19"/>
        <v>213444</v>
      </c>
    </row>
    <row r="471" spans="1:11">
      <c r="A471" s="179" t="s">
        <v>528</v>
      </c>
      <c r="B471" s="179" t="s">
        <v>517</v>
      </c>
      <c r="C471" s="186">
        <v>39227</v>
      </c>
      <c r="D471" s="188">
        <f t="shared" si="18"/>
        <v>2007</v>
      </c>
      <c r="E471" s="183" t="s">
        <v>523</v>
      </c>
      <c r="F471" s="178">
        <v>700</v>
      </c>
      <c r="G471" s="178">
        <v>12838</v>
      </c>
      <c r="H471" s="178">
        <v>5929</v>
      </c>
      <c r="I471" s="178">
        <v>6909</v>
      </c>
      <c r="J471" s="32">
        <v>463</v>
      </c>
      <c r="K471" s="263">
        <f t="shared" si="19"/>
        <v>214369</v>
      </c>
    </row>
    <row r="472" spans="1:11">
      <c r="A472" s="179" t="s">
        <v>423</v>
      </c>
      <c r="B472" s="179" t="s">
        <v>517</v>
      </c>
      <c r="C472" s="186">
        <v>39231</v>
      </c>
      <c r="D472" s="188">
        <f t="shared" si="18"/>
        <v>2007</v>
      </c>
      <c r="E472" s="183" t="s">
        <v>532</v>
      </c>
      <c r="F472" s="178">
        <v>1000</v>
      </c>
      <c r="G472" s="178">
        <v>20250</v>
      </c>
      <c r="H472" s="178">
        <v>8470</v>
      </c>
      <c r="I472" s="178">
        <v>11780</v>
      </c>
      <c r="J472" s="32">
        <v>464</v>
      </c>
      <c r="K472" s="263">
        <f t="shared" si="19"/>
        <v>215296</v>
      </c>
    </row>
    <row r="473" spans="1:11">
      <c r="A473" s="179" t="s">
        <v>423</v>
      </c>
      <c r="B473" s="179" t="s">
        <v>518</v>
      </c>
      <c r="C473" s="186">
        <v>39232</v>
      </c>
      <c r="D473" s="188">
        <f t="shared" si="18"/>
        <v>2007</v>
      </c>
      <c r="E473" s="183" t="s">
        <v>530</v>
      </c>
      <c r="F473" s="178">
        <v>600</v>
      </c>
      <c r="G473" s="178">
        <v>14634</v>
      </c>
      <c r="H473" s="178">
        <v>6132</v>
      </c>
      <c r="I473" s="178">
        <v>8502</v>
      </c>
      <c r="J473" s="32">
        <v>465</v>
      </c>
      <c r="K473" s="263">
        <f t="shared" si="19"/>
        <v>216225</v>
      </c>
    </row>
    <row r="474" spans="1:11">
      <c r="A474" s="179" t="s">
        <v>528</v>
      </c>
      <c r="B474" s="179" t="s">
        <v>517</v>
      </c>
      <c r="C474" s="186">
        <v>39233</v>
      </c>
      <c r="D474" s="188">
        <f t="shared" si="18"/>
        <v>2007</v>
      </c>
      <c r="E474" s="183" t="s">
        <v>537</v>
      </c>
      <c r="F474" s="178">
        <v>800</v>
      </c>
      <c r="G474" s="178">
        <v>15288</v>
      </c>
      <c r="H474" s="178">
        <v>6776</v>
      </c>
      <c r="I474" s="178">
        <v>8512</v>
      </c>
      <c r="J474" s="32">
        <v>466</v>
      </c>
      <c r="K474" s="263">
        <f t="shared" si="19"/>
        <v>217156</v>
      </c>
    </row>
    <row r="475" spans="1:11">
      <c r="A475" s="179" t="s">
        <v>429</v>
      </c>
      <c r="B475" s="179" t="s">
        <v>516</v>
      </c>
      <c r="C475" s="186">
        <v>39233</v>
      </c>
      <c r="D475" s="188">
        <f t="shared" si="18"/>
        <v>2007</v>
      </c>
      <c r="E475" s="183" t="s">
        <v>530</v>
      </c>
      <c r="F475" s="178">
        <v>400</v>
      </c>
      <c r="G475" s="178">
        <v>9484</v>
      </c>
      <c r="H475" s="178">
        <v>3936</v>
      </c>
      <c r="I475" s="178">
        <v>5548</v>
      </c>
      <c r="J475" s="32">
        <v>467</v>
      </c>
      <c r="K475" s="263">
        <f t="shared" si="19"/>
        <v>218089</v>
      </c>
    </row>
    <row r="476" spans="1:11">
      <c r="A476" s="179" t="s">
        <v>423</v>
      </c>
      <c r="B476" s="179" t="s">
        <v>516</v>
      </c>
      <c r="C476" s="186">
        <v>39233</v>
      </c>
      <c r="D476" s="188">
        <f t="shared" si="18"/>
        <v>2007</v>
      </c>
      <c r="E476" s="183" t="s">
        <v>530</v>
      </c>
      <c r="F476" s="178">
        <v>400</v>
      </c>
      <c r="G476" s="178">
        <v>8464</v>
      </c>
      <c r="H476" s="178">
        <v>3936</v>
      </c>
      <c r="I476" s="178">
        <v>4528</v>
      </c>
      <c r="J476" s="32">
        <v>468</v>
      </c>
      <c r="K476" s="263">
        <f t="shared" si="19"/>
        <v>219024</v>
      </c>
    </row>
    <row r="477" spans="1:11">
      <c r="A477" s="179" t="s">
        <v>429</v>
      </c>
      <c r="B477" s="179" t="s">
        <v>518</v>
      </c>
      <c r="C477" s="186">
        <v>39234</v>
      </c>
      <c r="D477" s="188">
        <f t="shared" si="18"/>
        <v>2007</v>
      </c>
      <c r="E477" s="183" t="s">
        <v>530</v>
      </c>
      <c r="F477" s="178">
        <v>100</v>
      </c>
      <c r="G477" s="178">
        <v>2517</v>
      </c>
      <c r="H477" s="178">
        <v>1022</v>
      </c>
      <c r="I477" s="178">
        <v>1495</v>
      </c>
      <c r="J477" s="32">
        <v>469</v>
      </c>
      <c r="K477" s="263">
        <f t="shared" si="19"/>
        <v>219961</v>
      </c>
    </row>
    <row r="478" spans="1:11">
      <c r="A478" s="179" t="s">
        <v>528</v>
      </c>
      <c r="B478" s="179" t="s">
        <v>518</v>
      </c>
      <c r="C478" s="186">
        <v>39235</v>
      </c>
      <c r="D478" s="188">
        <f t="shared" si="18"/>
        <v>2007</v>
      </c>
      <c r="E478" s="183" t="s">
        <v>529</v>
      </c>
      <c r="F478" s="178">
        <v>700</v>
      </c>
      <c r="G478" s="178">
        <v>15876</v>
      </c>
      <c r="H478" s="178">
        <v>7154</v>
      </c>
      <c r="I478" s="178">
        <v>8722</v>
      </c>
      <c r="J478" s="32">
        <v>470</v>
      </c>
      <c r="K478" s="263">
        <f t="shared" si="19"/>
        <v>220900</v>
      </c>
    </row>
    <row r="479" spans="1:11">
      <c r="A479" s="179" t="s">
        <v>429</v>
      </c>
      <c r="B479" s="179" t="s">
        <v>516</v>
      </c>
      <c r="C479" s="186">
        <v>39237</v>
      </c>
      <c r="D479" s="188">
        <f t="shared" si="18"/>
        <v>2007</v>
      </c>
      <c r="E479" s="183" t="s">
        <v>533</v>
      </c>
      <c r="F479" s="178">
        <v>800</v>
      </c>
      <c r="G479" s="178">
        <v>15816</v>
      </c>
      <c r="H479" s="178">
        <v>7872</v>
      </c>
      <c r="I479" s="178">
        <v>7944</v>
      </c>
      <c r="J479" s="32">
        <v>471</v>
      </c>
      <c r="K479" s="263">
        <f t="shared" si="19"/>
        <v>221841</v>
      </c>
    </row>
    <row r="480" spans="1:11">
      <c r="A480" s="179" t="s">
        <v>423</v>
      </c>
      <c r="B480" s="179" t="s">
        <v>517</v>
      </c>
      <c r="C480" s="186">
        <v>39239</v>
      </c>
      <c r="D480" s="188">
        <f t="shared" si="18"/>
        <v>2007</v>
      </c>
      <c r="E480" s="183" t="s">
        <v>532</v>
      </c>
      <c r="F480" s="178">
        <v>300</v>
      </c>
      <c r="G480" s="178">
        <v>5859</v>
      </c>
      <c r="H480" s="178">
        <v>2541</v>
      </c>
      <c r="I480" s="178">
        <v>3318</v>
      </c>
      <c r="J480" s="32">
        <v>472</v>
      </c>
      <c r="K480" s="263">
        <f t="shared" si="19"/>
        <v>222784</v>
      </c>
    </row>
    <row r="481" spans="1:11">
      <c r="A481" s="179" t="s">
        <v>423</v>
      </c>
      <c r="B481" s="179" t="s">
        <v>517</v>
      </c>
      <c r="C481" s="186">
        <v>39244</v>
      </c>
      <c r="D481" s="188">
        <f t="shared" si="18"/>
        <v>2007</v>
      </c>
      <c r="E481" s="183" t="s">
        <v>529</v>
      </c>
      <c r="F481" s="178">
        <v>500</v>
      </c>
      <c r="G481" s="178">
        <v>10295</v>
      </c>
      <c r="H481" s="178">
        <v>4235</v>
      </c>
      <c r="I481" s="178">
        <v>6060</v>
      </c>
      <c r="J481" s="32">
        <v>473</v>
      </c>
      <c r="K481" s="263">
        <f t="shared" si="19"/>
        <v>223729</v>
      </c>
    </row>
    <row r="482" spans="1:11">
      <c r="A482" s="179" t="s">
        <v>423</v>
      </c>
      <c r="B482" s="179" t="s">
        <v>516</v>
      </c>
      <c r="C482" s="186">
        <v>39247</v>
      </c>
      <c r="D482" s="188">
        <f t="shared" si="18"/>
        <v>2007</v>
      </c>
      <c r="E482" s="183" t="s">
        <v>534</v>
      </c>
      <c r="F482" s="178">
        <v>400</v>
      </c>
      <c r="G482" s="178">
        <v>9088</v>
      </c>
      <c r="H482" s="178">
        <v>3936</v>
      </c>
      <c r="I482" s="178">
        <v>5152</v>
      </c>
      <c r="J482" s="32">
        <v>474</v>
      </c>
      <c r="K482" s="263">
        <f t="shared" si="19"/>
        <v>224676</v>
      </c>
    </row>
    <row r="483" spans="1:11">
      <c r="A483" s="179" t="s">
        <v>528</v>
      </c>
      <c r="B483" s="179" t="s">
        <v>516</v>
      </c>
      <c r="C483" s="186">
        <v>39248</v>
      </c>
      <c r="D483" s="188">
        <f t="shared" si="18"/>
        <v>2007</v>
      </c>
      <c r="E483" s="183" t="s">
        <v>523</v>
      </c>
      <c r="F483" s="178">
        <v>200</v>
      </c>
      <c r="G483" s="178">
        <v>4472</v>
      </c>
      <c r="H483" s="178">
        <v>1968</v>
      </c>
      <c r="I483" s="178">
        <v>2504</v>
      </c>
      <c r="J483" s="32">
        <v>475</v>
      </c>
      <c r="K483" s="263">
        <f t="shared" si="19"/>
        <v>225625</v>
      </c>
    </row>
    <row r="484" spans="1:11">
      <c r="A484" s="179" t="s">
        <v>429</v>
      </c>
      <c r="B484" s="179" t="s">
        <v>517</v>
      </c>
      <c r="C484" s="186">
        <v>39250</v>
      </c>
      <c r="D484" s="188">
        <f t="shared" si="18"/>
        <v>2007</v>
      </c>
      <c r="E484" s="183" t="s">
        <v>523</v>
      </c>
      <c r="F484" s="178">
        <v>400</v>
      </c>
      <c r="G484" s="178">
        <v>8468</v>
      </c>
      <c r="H484" s="178">
        <v>3388</v>
      </c>
      <c r="I484" s="178">
        <v>5080</v>
      </c>
      <c r="J484" s="32">
        <v>476</v>
      </c>
      <c r="K484" s="263">
        <f t="shared" si="19"/>
        <v>226576</v>
      </c>
    </row>
    <row r="485" spans="1:11">
      <c r="A485" s="179" t="s">
        <v>429</v>
      </c>
      <c r="B485" s="179" t="s">
        <v>517</v>
      </c>
      <c r="C485" s="186">
        <v>39251</v>
      </c>
      <c r="D485" s="188">
        <f t="shared" si="18"/>
        <v>2007</v>
      </c>
      <c r="E485" s="183" t="s">
        <v>523</v>
      </c>
      <c r="F485" s="178">
        <v>400</v>
      </c>
      <c r="G485" s="178">
        <v>7132</v>
      </c>
      <c r="H485" s="178">
        <v>3388</v>
      </c>
      <c r="I485" s="178">
        <v>3744</v>
      </c>
      <c r="J485" s="32">
        <v>477</v>
      </c>
      <c r="K485" s="263">
        <f t="shared" si="19"/>
        <v>227529</v>
      </c>
    </row>
    <row r="486" spans="1:11">
      <c r="A486" s="179" t="s">
        <v>528</v>
      </c>
      <c r="B486" s="179" t="s">
        <v>517</v>
      </c>
      <c r="C486" s="186">
        <v>39256</v>
      </c>
      <c r="D486" s="188">
        <f t="shared" si="18"/>
        <v>2007</v>
      </c>
      <c r="E486" s="183" t="s">
        <v>533</v>
      </c>
      <c r="F486" s="178">
        <v>800</v>
      </c>
      <c r="G486" s="178">
        <v>16416</v>
      </c>
      <c r="H486" s="178">
        <v>6776</v>
      </c>
      <c r="I486" s="178">
        <v>9640</v>
      </c>
      <c r="J486" s="32">
        <v>478</v>
      </c>
      <c r="K486" s="263">
        <f t="shared" si="19"/>
        <v>228484</v>
      </c>
    </row>
    <row r="487" spans="1:11">
      <c r="A487" s="179" t="s">
        <v>429</v>
      </c>
      <c r="B487" s="179" t="s">
        <v>516</v>
      </c>
      <c r="C487" s="186">
        <v>39256</v>
      </c>
      <c r="D487" s="188">
        <f t="shared" si="18"/>
        <v>2007</v>
      </c>
      <c r="E487" s="183" t="s">
        <v>541</v>
      </c>
      <c r="F487" s="178">
        <v>1000</v>
      </c>
      <c r="G487" s="178">
        <v>21730</v>
      </c>
      <c r="H487" s="178">
        <v>9840</v>
      </c>
      <c r="I487" s="178">
        <v>11890</v>
      </c>
      <c r="J487" s="32">
        <v>479</v>
      </c>
      <c r="K487" s="263">
        <f t="shared" si="19"/>
        <v>229441</v>
      </c>
    </row>
    <row r="488" spans="1:11">
      <c r="A488" s="179" t="s">
        <v>423</v>
      </c>
      <c r="B488" s="179" t="s">
        <v>516</v>
      </c>
      <c r="C488" s="186">
        <v>39257</v>
      </c>
      <c r="D488" s="188">
        <f t="shared" si="18"/>
        <v>2007</v>
      </c>
      <c r="E488" s="183" t="s">
        <v>525</v>
      </c>
      <c r="F488" s="178">
        <v>800</v>
      </c>
      <c r="G488" s="178">
        <v>17056</v>
      </c>
      <c r="H488" s="178">
        <v>7872</v>
      </c>
      <c r="I488" s="178">
        <v>9184</v>
      </c>
      <c r="J488" s="32">
        <v>480</v>
      </c>
      <c r="K488" s="263">
        <f t="shared" si="19"/>
        <v>230400</v>
      </c>
    </row>
    <row r="489" spans="1:11">
      <c r="A489" s="179" t="s">
        <v>528</v>
      </c>
      <c r="B489" s="179" t="s">
        <v>518</v>
      </c>
      <c r="C489" s="186">
        <v>39259</v>
      </c>
      <c r="D489" s="188">
        <f t="shared" si="18"/>
        <v>2007</v>
      </c>
      <c r="E489" s="183" t="s">
        <v>524</v>
      </c>
      <c r="F489" s="178">
        <v>600</v>
      </c>
      <c r="G489" s="178">
        <v>12936</v>
      </c>
      <c r="H489" s="178">
        <v>6132</v>
      </c>
      <c r="I489" s="178">
        <v>6804</v>
      </c>
      <c r="J489" s="32">
        <v>481</v>
      </c>
      <c r="K489" s="263">
        <f t="shared" si="19"/>
        <v>231361</v>
      </c>
    </row>
    <row r="490" spans="1:11">
      <c r="A490" s="179" t="s">
        <v>528</v>
      </c>
      <c r="B490" s="179" t="s">
        <v>518</v>
      </c>
      <c r="C490" s="186">
        <v>39260</v>
      </c>
      <c r="D490" s="188">
        <f t="shared" si="18"/>
        <v>2007</v>
      </c>
      <c r="E490" s="183" t="s">
        <v>523</v>
      </c>
      <c r="F490" s="178">
        <v>500</v>
      </c>
      <c r="G490" s="178">
        <v>10385</v>
      </c>
      <c r="H490" s="178">
        <v>5110</v>
      </c>
      <c r="I490" s="178">
        <v>5275</v>
      </c>
      <c r="J490" s="32">
        <v>482</v>
      </c>
      <c r="K490" s="263">
        <f t="shared" si="19"/>
        <v>232324</v>
      </c>
    </row>
    <row r="491" spans="1:11">
      <c r="A491" s="179" t="s">
        <v>429</v>
      </c>
      <c r="B491" s="179" t="s">
        <v>517</v>
      </c>
      <c r="C491" s="186">
        <v>39266</v>
      </c>
      <c r="D491" s="188">
        <f t="shared" si="18"/>
        <v>2007</v>
      </c>
      <c r="E491" s="183" t="s">
        <v>530</v>
      </c>
      <c r="F491" s="178">
        <v>300</v>
      </c>
      <c r="G491" s="178">
        <v>5457</v>
      </c>
      <c r="H491" s="178">
        <v>2541</v>
      </c>
      <c r="I491" s="178">
        <v>2916</v>
      </c>
      <c r="J491" s="32">
        <v>483</v>
      </c>
      <c r="K491" s="263">
        <f t="shared" si="19"/>
        <v>233289</v>
      </c>
    </row>
    <row r="492" spans="1:11">
      <c r="A492" s="179" t="s">
        <v>528</v>
      </c>
      <c r="B492" s="179" t="s">
        <v>516</v>
      </c>
      <c r="C492" s="186">
        <v>39272</v>
      </c>
      <c r="D492" s="188">
        <f t="shared" si="18"/>
        <v>2007</v>
      </c>
      <c r="E492" s="183" t="s">
        <v>537</v>
      </c>
      <c r="F492" s="178">
        <v>800</v>
      </c>
      <c r="G492" s="178">
        <v>15856</v>
      </c>
      <c r="H492" s="178">
        <v>7872</v>
      </c>
      <c r="I492" s="178">
        <v>7984</v>
      </c>
      <c r="J492" s="32">
        <v>484</v>
      </c>
      <c r="K492" s="263">
        <f t="shared" si="19"/>
        <v>234256</v>
      </c>
    </row>
    <row r="493" spans="1:11">
      <c r="A493" s="179" t="s">
        <v>528</v>
      </c>
      <c r="B493" s="179" t="s">
        <v>517</v>
      </c>
      <c r="C493" s="186">
        <v>39274</v>
      </c>
      <c r="D493" s="188">
        <f t="shared" si="18"/>
        <v>2007</v>
      </c>
      <c r="E493" s="183" t="s">
        <v>523</v>
      </c>
      <c r="F493" s="178">
        <v>200</v>
      </c>
      <c r="G493" s="178">
        <v>3922</v>
      </c>
      <c r="H493" s="178">
        <v>1694</v>
      </c>
      <c r="I493" s="178">
        <v>2228</v>
      </c>
      <c r="J493" s="32">
        <v>485</v>
      </c>
      <c r="K493" s="263">
        <f t="shared" si="19"/>
        <v>235225</v>
      </c>
    </row>
    <row r="494" spans="1:11">
      <c r="A494" s="179" t="s">
        <v>429</v>
      </c>
      <c r="B494" s="179" t="s">
        <v>517</v>
      </c>
      <c r="C494" s="186">
        <v>39274</v>
      </c>
      <c r="D494" s="188">
        <f t="shared" si="18"/>
        <v>2007</v>
      </c>
      <c r="E494" s="183" t="s">
        <v>524</v>
      </c>
      <c r="F494" s="178">
        <v>100</v>
      </c>
      <c r="G494" s="178">
        <v>2055</v>
      </c>
      <c r="H494" s="178">
        <v>847</v>
      </c>
      <c r="I494" s="178">
        <v>1208</v>
      </c>
      <c r="J494" s="32">
        <v>486</v>
      </c>
      <c r="K494" s="263">
        <f t="shared" si="19"/>
        <v>236196</v>
      </c>
    </row>
    <row r="495" spans="1:11">
      <c r="A495" s="179" t="s">
        <v>423</v>
      </c>
      <c r="B495" s="179" t="s">
        <v>517</v>
      </c>
      <c r="C495" s="186">
        <v>39278</v>
      </c>
      <c r="D495" s="188">
        <f t="shared" si="18"/>
        <v>2007</v>
      </c>
      <c r="E495" s="183" t="s">
        <v>538</v>
      </c>
      <c r="F495" s="178">
        <v>700</v>
      </c>
      <c r="G495" s="178">
        <v>12474</v>
      </c>
      <c r="H495" s="178">
        <v>5929</v>
      </c>
      <c r="I495" s="178">
        <v>6545</v>
      </c>
      <c r="J495" s="32">
        <v>487</v>
      </c>
      <c r="K495" s="263">
        <f t="shared" si="19"/>
        <v>237169</v>
      </c>
    </row>
    <row r="496" spans="1:11">
      <c r="A496" s="179" t="s">
        <v>528</v>
      </c>
      <c r="B496" s="179" t="s">
        <v>517</v>
      </c>
      <c r="C496" s="186">
        <v>39280</v>
      </c>
      <c r="D496" s="188">
        <f t="shared" si="18"/>
        <v>2007</v>
      </c>
      <c r="E496" s="183" t="s">
        <v>534</v>
      </c>
      <c r="F496" s="178">
        <v>100</v>
      </c>
      <c r="G496" s="178">
        <v>1968</v>
      </c>
      <c r="H496" s="178">
        <v>847</v>
      </c>
      <c r="I496" s="178">
        <v>1121</v>
      </c>
      <c r="J496" s="32">
        <v>488</v>
      </c>
      <c r="K496" s="263">
        <f t="shared" si="19"/>
        <v>238144</v>
      </c>
    </row>
    <row r="497" spans="1:11">
      <c r="A497" s="179" t="s">
        <v>429</v>
      </c>
      <c r="B497" s="179" t="s">
        <v>518</v>
      </c>
      <c r="C497" s="186">
        <v>39280</v>
      </c>
      <c r="D497" s="188">
        <f t="shared" si="18"/>
        <v>2007</v>
      </c>
      <c r="E497" s="183" t="s">
        <v>524</v>
      </c>
      <c r="F497" s="178">
        <v>700</v>
      </c>
      <c r="G497" s="178">
        <v>15988</v>
      </c>
      <c r="H497" s="178">
        <v>7154</v>
      </c>
      <c r="I497" s="178">
        <v>8834</v>
      </c>
      <c r="J497" s="32">
        <v>489</v>
      </c>
      <c r="K497" s="263">
        <f t="shared" si="19"/>
        <v>239121</v>
      </c>
    </row>
    <row r="498" spans="1:11">
      <c r="A498" s="179" t="s">
        <v>423</v>
      </c>
      <c r="B498" s="179" t="s">
        <v>517</v>
      </c>
      <c r="C498" s="186">
        <v>39281</v>
      </c>
      <c r="D498" s="188">
        <f t="shared" si="18"/>
        <v>2007</v>
      </c>
      <c r="E498" s="183" t="s">
        <v>523</v>
      </c>
      <c r="F498" s="178">
        <v>200</v>
      </c>
      <c r="G498" s="178">
        <v>3672</v>
      </c>
      <c r="H498" s="178">
        <v>1694</v>
      </c>
      <c r="I498" s="178">
        <v>1978</v>
      </c>
      <c r="J498" s="32">
        <v>490</v>
      </c>
      <c r="K498" s="263">
        <f t="shared" si="19"/>
        <v>240100</v>
      </c>
    </row>
    <row r="499" spans="1:11">
      <c r="A499" s="179" t="s">
        <v>429</v>
      </c>
      <c r="B499" s="179" t="s">
        <v>517</v>
      </c>
      <c r="C499" s="186">
        <v>39288</v>
      </c>
      <c r="D499" s="188">
        <f t="shared" si="18"/>
        <v>2007</v>
      </c>
      <c r="E499" s="183" t="s">
        <v>530</v>
      </c>
      <c r="F499" s="178">
        <v>400</v>
      </c>
      <c r="G499" s="178">
        <v>6944</v>
      </c>
      <c r="H499" s="178">
        <v>3388</v>
      </c>
      <c r="I499" s="178">
        <v>3556</v>
      </c>
      <c r="J499" s="32">
        <v>491</v>
      </c>
      <c r="K499" s="263">
        <f t="shared" si="19"/>
        <v>241081</v>
      </c>
    </row>
    <row r="500" spans="1:11">
      <c r="A500" s="179" t="s">
        <v>528</v>
      </c>
      <c r="B500" s="179" t="s">
        <v>516</v>
      </c>
      <c r="C500" s="186">
        <v>39288</v>
      </c>
      <c r="D500" s="188">
        <f t="shared" si="18"/>
        <v>2007</v>
      </c>
      <c r="E500" s="183" t="s">
        <v>532</v>
      </c>
      <c r="F500" s="178">
        <v>600</v>
      </c>
      <c r="G500" s="178">
        <v>13368</v>
      </c>
      <c r="H500" s="178">
        <v>5904</v>
      </c>
      <c r="I500" s="178">
        <v>7464</v>
      </c>
      <c r="J500" s="32">
        <v>492</v>
      </c>
      <c r="K500" s="263">
        <f t="shared" si="19"/>
        <v>242064</v>
      </c>
    </row>
    <row r="501" spans="1:11">
      <c r="A501" s="179" t="s">
        <v>423</v>
      </c>
      <c r="B501" s="179" t="s">
        <v>516</v>
      </c>
      <c r="C501" s="186">
        <v>39290</v>
      </c>
      <c r="D501" s="188">
        <f t="shared" si="18"/>
        <v>2007</v>
      </c>
      <c r="E501" s="183" t="s">
        <v>525</v>
      </c>
      <c r="F501" s="178">
        <v>300</v>
      </c>
      <c r="G501" s="178">
        <v>6018</v>
      </c>
      <c r="H501" s="178">
        <v>2952</v>
      </c>
      <c r="I501" s="178">
        <v>3066</v>
      </c>
      <c r="J501" s="32">
        <v>493</v>
      </c>
      <c r="K501" s="263">
        <f t="shared" si="19"/>
        <v>243049</v>
      </c>
    </row>
    <row r="502" spans="1:11">
      <c r="A502" s="179" t="s">
        <v>528</v>
      </c>
      <c r="B502" s="179" t="s">
        <v>518</v>
      </c>
      <c r="C502" s="186">
        <v>39291</v>
      </c>
      <c r="D502" s="188">
        <f t="shared" si="18"/>
        <v>2007</v>
      </c>
      <c r="E502" s="183" t="s">
        <v>533</v>
      </c>
      <c r="F502" s="178">
        <v>100</v>
      </c>
      <c r="G502" s="178">
        <v>2343</v>
      </c>
      <c r="H502" s="178">
        <v>1022</v>
      </c>
      <c r="I502" s="178">
        <v>1321</v>
      </c>
      <c r="J502" s="32">
        <v>494</v>
      </c>
      <c r="K502" s="263">
        <f t="shared" si="19"/>
        <v>244036</v>
      </c>
    </row>
    <row r="503" spans="1:11">
      <c r="A503" s="179" t="s">
        <v>423</v>
      </c>
      <c r="B503" s="179" t="s">
        <v>517</v>
      </c>
      <c r="C503" s="186">
        <v>39295</v>
      </c>
      <c r="D503" s="188">
        <f t="shared" si="18"/>
        <v>2007</v>
      </c>
      <c r="E503" s="183" t="s">
        <v>529</v>
      </c>
      <c r="F503" s="178">
        <v>400</v>
      </c>
      <c r="G503" s="178">
        <v>7752</v>
      </c>
      <c r="H503" s="178">
        <v>3388</v>
      </c>
      <c r="I503" s="178">
        <v>4364</v>
      </c>
      <c r="J503" s="32">
        <v>495</v>
      </c>
      <c r="K503" s="263">
        <f t="shared" si="19"/>
        <v>245025</v>
      </c>
    </row>
    <row r="504" spans="1:11">
      <c r="A504" s="179" t="s">
        <v>423</v>
      </c>
      <c r="B504" s="179" t="s">
        <v>516</v>
      </c>
      <c r="C504" s="186">
        <v>39296</v>
      </c>
      <c r="D504" s="188">
        <f t="shared" si="18"/>
        <v>2007</v>
      </c>
      <c r="E504" s="183" t="s">
        <v>530</v>
      </c>
      <c r="F504" s="178">
        <v>500</v>
      </c>
      <c r="G504" s="178">
        <v>11295</v>
      </c>
      <c r="H504" s="178">
        <v>4920</v>
      </c>
      <c r="I504" s="178">
        <v>6375</v>
      </c>
      <c r="J504" s="32">
        <v>496</v>
      </c>
      <c r="K504" s="263">
        <f t="shared" si="19"/>
        <v>246016</v>
      </c>
    </row>
    <row r="505" spans="1:11">
      <c r="A505" s="179" t="s">
        <v>528</v>
      </c>
      <c r="B505" s="179" t="s">
        <v>516</v>
      </c>
      <c r="C505" s="186">
        <v>39296</v>
      </c>
      <c r="D505" s="188">
        <f t="shared" si="18"/>
        <v>2007</v>
      </c>
      <c r="E505" s="183" t="s">
        <v>533</v>
      </c>
      <c r="F505" s="178">
        <v>600</v>
      </c>
      <c r="G505" s="178">
        <v>13200</v>
      </c>
      <c r="H505" s="178">
        <v>5904</v>
      </c>
      <c r="I505" s="178">
        <v>7296</v>
      </c>
      <c r="J505" s="32">
        <v>497</v>
      </c>
      <c r="K505" s="263">
        <f t="shared" si="19"/>
        <v>247009</v>
      </c>
    </row>
    <row r="506" spans="1:11">
      <c r="A506" s="179" t="s">
        <v>528</v>
      </c>
      <c r="B506" s="179" t="s">
        <v>518</v>
      </c>
      <c r="C506" s="186">
        <v>39298</v>
      </c>
      <c r="D506" s="188">
        <f t="shared" si="18"/>
        <v>2007</v>
      </c>
      <c r="E506" s="183" t="s">
        <v>531</v>
      </c>
      <c r="F506" s="178">
        <v>800</v>
      </c>
      <c r="G506" s="178">
        <v>17160</v>
      </c>
      <c r="H506" s="178">
        <v>8176</v>
      </c>
      <c r="I506" s="178">
        <v>8984</v>
      </c>
      <c r="J506" s="32">
        <v>498</v>
      </c>
      <c r="K506" s="263">
        <f t="shared" si="19"/>
        <v>248004</v>
      </c>
    </row>
    <row r="507" spans="1:11">
      <c r="A507" s="179" t="s">
        <v>429</v>
      </c>
      <c r="B507" s="179" t="s">
        <v>518</v>
      </c>
      <c r="C507" s="186">
        <v>39299</v>
      </c>
      <c r="D507" s="188">
        <f t="shared" si="18"/>
        <v>2007</v>
      </c>
      <c r="E507" s="183" t="s">
        <v>531</v>
      </c>
      <c r="F507" s="178">
        <v>900</v>
      </c>
      <c r="G507" s="178">
        <v>20664</v>
      </c>
      <c r="H507" s="178">
        <v>9198</v>
      </c>
      <c r="I507" s="178">
        <v>11466</v>
      </c>
      <c r="J507" s="32">
        <v>499</v>
      </c>
      <c r="K507" s="263">
        <f t="shared" si="19"/>
        <v>249001</v>
      </c>
    </row>
    <row r="508" spans="1:11">
      <c r="A508" s="179" t="s">
        <v>429</v>
      </c>
      <c r="B508" s="179" t="s">
        <v>518</v>
      </c>
      <c r="C508" s="186">
        <v>39300</v>
      </c>
      <c r="D508" s="188">
        <f t="shared" si="18"/>
        <v>2007</v>
      </c>
      <c r="E508" s="183" t="s">
        <v>543</v>
      </c>
      <c r="F508" s="178">
        <v>100</v>
      </c>
      <c r="G508" s="178">
        <v>2538</v>
      </c>
      <c r="H508" s="178">
        <v>1022</v>
      </c>
      <c r="I508" s="178">
        <v>1516</v>
      </c>
      <c r="J508" s="32">
        <v>500</v>
      </c>
      <c r="K508" s="263">
        <f t="shared" si="19"/>
        <v>250000</v>
      </c>
    </row>
    <row r="509" spans="1:11">
      <c r="A509" s="179" t="s">
        <v>423</v>
      </c>
      <c r="B509" s="179" t="s">
        <v>518</v>
      </c>
      <c r="C509" s="186">
        <v>39301</v>
      </c>
      <c r="D509" s="188">
        <f t="shared" si="18"/>
        <v>2007</v>
      </c>
      <c r="E509" s="183" t="s">
        <v>525</v>
      </c>
      <c r="F509" s="178">
        <v>900</v>
      </c>
      <c r="G509" s="178">
        <v>21834</v>
      </c>
      <c r="H509" s="178">
        <v>9198</v>
      </c>
      <c r="I509" s="178">
        <v>12636</v>
      </c>
      <c r="J509" s="32">
        <v>501</v>
      </c>
      <c r="K509" s="263">
        <f t="shared" si="19"/>
        <v>251001</v>
      </c>
    </row>
    <row r="510" spans="1:11">
      <c r="A510" s="179" t="s">
        <v>528</v>
      </c>
      <c r="B510" s="179" t="s">
        <v>516</v>
      </c>
      <c r="C510" s="186">
        <v>39306</v>
      </c>
      <c r="D510" s="188">
        <f t="shared" si="18"/>
        <v>2007</v>
      </c>
      <c r="E510" s="183" t="s">
        <v>524</v>
      </c>
      <c r="F510" s="178">
        <v>300</v>
      </c>
      <c r="G510" s="178">
        <v>6462</v>
      </c>
      <c r="H510" s="178">
        <v>2952</v>
      </c>
      <c r="I510" s="178">
        <v>3510</v>
      </c>
      <c r="J510" s="32">
        <v>502</v>
      </c>
      <c r="K510" s="263">
        <f t="shared" si="19"/>
        <v>252004</v>
      </c>
    </row>
    <row r="511" spans="1:11">
      <c r="A511" s="179" t="s">
        <v>423</v>
      </c>
      <c r="B511" s="179" t="s">
        <v>518</v>
      </c>
      <c r="C511" s="186">
        <v>39307</v>
      </c>
      <c r="D511" s="188">
        <f t="shared" si="18"/>
        <v>2007</v>
      </c>
      <c r="E511" s="183" t="s">
        <v>531</v>
      </c>
      <c r="F511" s="178">
        <v>700</v>
      </c>
      <c r="G511" s="178">
        <v>16576</v>
      </c>
      <c r="H511" s="178">
        <v>7154</v>
      </c>
      <c r="I511" s="178">
        <v>9422</v>
      </c>
      <c r="J511" s="32">
        <v>503</v>
      </c>
      <c r="K511" s="263">
        <f t="shared" si="19"/>
        <v>253009</v>
      </c>
    </row>
    <row r="512" spans="1:11">
      <c r="A512" s="179" t="s">
        <v>429</v>
      </c>
      <c r="B512" s="179" t="s">
        <v>516</v>
      </c>
      <c r="C512" s="186">
        <v>39309</v>
      </c>
      <c r="D512" s="188">
        <f t="shared" si="18"/>
        <v>2007</v>
      </c>
      <c r="E512" s="183" t="s">
        <v>531</v>
      </c>
      <c r="F512" s="178">
        <v>600</v>
      </c>
      <c r="G512" s="178">
        <v>12048</v>
      </c>
      <c r="H512" s="178">
        <v>5904</v>
      </c>
      <c r="I512" s="178">
        <v>6144</v>
      </c>
      <c r="J512" s="32">
        <v>504</v>
      </c>
      <c r="K512" s="263">
        <f t="shared" si="19"/>
        <v>254016</v>
      </c>
    </row>
    <row r="513" spans="1:11">
      <c r="A513" s="179" t="s">
        <v>423</v>
      </c>
      <c r="B513" s="179" t="s">
        <v>516</v>
      </c>
      <c r="C513" s="186">
        <v>39311</v>
      </c>
      <c r="D513" s="188">
        <f t="shared" si="18"/>
        <v>2007</v>
      </c>
      <c r="E513" s="183" t="s">
        <v>529</v>
      </c>
      <c r="F513" s="178">
        <v>700</v>
      </c>
      <c r="G513" s="178">
        <v>16219</v>
      </c>
      <c r="H513" s="178">
        <v>6888</v>
      </c>
      <c r="I513" s="178">
        <v>9331</v>
      </c>
      <c r="J513" s="32">
        <v>505</v>
      </c>
      <c r="K513" s="263">
        <f t="shared" si="19"/>
        <v>255025</v>
      </c>
    </row>
    <row r="514" spans="1:11">
      <c r="A514" s="179" t="s">
        <v>528</v>
      </c>
      <c r="B514" s="179" t="s">
        <v>517</v>
      </c>
      <c r="C514" s="186">
        <v>39313</v>
      </c>
      <c r="D514" s="188">
        <f t="shared" si="18"/>
        <v>2007</v>
      </c>
      <c r="E514" s="183" t="s">
        <v>529</v>
      </c>
      <c r="F514" s="178">
        <v>400</v>
      </c>
      <c r="G514" s="178">
        <v>7944</v>
      </c>
      <c r="H514" s="178">
        <v>3388</v>
      </c>
      <c r="I514" s="178">
        <v>4556</v>
      </c>
      <c r="J514" s="32">
        <v>506</v>
      </c>
      <c r="K514" s="263">
        <f t="shared" si="19"/>
        <v>256036</v>
      </c>
    </row>
    <row r="515" spans="1:11">
      <c r="A515" s="179" t="s">
        <v>429</v>
      </c>
      <c r="B515" s="179" t="s">
        <v>518</v>
      </c>
      <c r="C515" s="186">
        <v>39313</v>
      </c>
      <c r="D515" s="188">
        <f t="shared" si="18"/>
        <v>2007</v>
      </c>
      <c r="E515" s="183" t="s">
        <v>529</v>
      </c>
      <c r="F515" s="178">
        <v>100</v>
      </c>
      <c r="G515" s="178">
        <v>2547</v>
      </c>
      <c r="H515" s="178">
        <v>1022</v>
      </c>
      <c r="I515" s="178">
        <v>1525</v>
      </c>
      <c r="J515" s="32">
        <v>507</v>
      </c>
      <c r="K515" s="263">
        <f t="shared" si="19"/>
        <v>257049</v>
      </c>
    </row>
    <row r="516" spans="1:11">
      <c r="A516" s="179" t="s">
        <v>429</v>
      </c>
      <c r="B516" s="179" t="s">
        <v>517</v>
      </c>
      <c r="C516" s="186">
        <v>39316</v>
      </c>
      <c r="D516" s="188">
        <f t="shared" si="18"/>
        <v>2007</v>
      </c>
      <c r="E516" s="183" t="s">
        <v>545</v>
      </c>
      <c r="F516" s="178">
        <v>300</v>
      </c>
      <c r="G516" s="178">
        <v>5532</v>
      </c>
      <c r="H516" s="178">
        <v>2541</v>
      </c>
      <c r="I516" s="178">
        <v>2991</v>
      </c>
      <c r="J516" s="32">
        <v>508</v>
      </c>
      <c r="K516" s="263">
        <f t="shared" si="19"/>
        <v>258064</v>
      </c>
    </row>
    <row r="517" spans="1:11">
      <c r="A517" s="179" t="s">
        <v>423</v>
      </c>
      <c r="B517" s="179" t="s">
        <v>517</v>
      </c>
      <c r="C517" s="186">
        <v>39320</v>
      </c>
      <c r="D517" s="188">
        <f t="shared" si="18"/>
        <v>2007</v>
      </c>
      <c r="E517" s="183" t="s">
        <v>531</v>
      </c>
      <c r="F517" s="178">
        <v>600</v>
      </c>
      <c r="G517" s="178">
        <v>10404</v>
      </c>
      <c r="H517" s="178">
        <v>5082</v>
      </c>
      <c r="I517" s="178">
        <v>5322</v>
      </c>
      <c r="J517" s="32">
        <v>509</v>
      </c>
      <c r="K517" s="263">
        <f t="shared" si="19"/>
        <v>259081</v>
      </c>
    </row>
    <row r="518" spans="1:11">
      <c r="A518" s="179" t="s">
        <v>528</v>
      </c>
      <c r="B518" s="179" t="s">
        <v>517</v>
      </c>
      <c r="C518" s="186">
        <v>39320</v>
      </c>
      <c r="D518" s="188">
        <f t="shared" si="18"/>
        <v>2007</v>
      </c>
      <c r="E518" s="183" t="s">
        <v>524</v>
      </c>
      <c r="F518" s="178">
        <v>300</v>
      </c>
      <c r="G518" s="178">
        <v>5592</v>
      </c>
      <c r="H518" s="178">
        <v>2541</v>
      </c>
      <c r="I518" s="178">
        <v>3051</v>
      </c>
      <c r="J518" s="32">
        <v>510</v>
      </c>
      <c r="K518" s="263">
        <f t="shared" si="19"/>
        <v>260100</v>
      </c>
    </row>
    <row r="519" spans="1:11">
      <c r="A519" s="179" t="s">
        <v>429</v>
      </c>
      <c r="B519" s="179" t="s">
        <v>517</v>
      </c>
      <c r="C519" s="186">
        <v>39322</v>
      </c>
      <c r="D519" s="188">
        <f t="shared" si="18"/>
        <v>2007</v>
      </c>
      <c r="E519" s="183" t="s">
        <v>534</v>
      </c>
      <c r="F519" s="178">
        <v>100</v>
      </c>
      <c r="G519" s="178">
        <v>1819</v>
      </c>
      <c r="H519" s="178">
        <v>847</v>
      </c>
      <c r="I519" s="178">
        <v>972</v>
      </c>
      <c r="J519" s="32">
        <v>511</v>
      </c>
      <c r="K519" s="263">
        <f t="shared" si="19"/>
        <v>261121</v>
      </c>
    </row>
    <row r="520" spans="1:11">
      <c r="A520" s="179" t="s">
        <v>429</v>
      </c>
      <c r="B520" s="179" t="s">
        <v>516</v>
      </c>
      <c r="C520" s="186">
        <v>39324</v>
      </c>
      <c r="D520" s="188">
        <f t="shared" si="18"/>
        <v>2007</v>
      </c>
      <c r="E520" s="183" t="s">
        <v>523</v>
      </c>
      <c r="F520" s="178">
        <v>200</v>
      </c>
      <c r="G520" s="178">
        <v>4696</v>
      </c>
      <c r="H520" s="178">
        <v>1968</v>
      </c>
      <c r="I520" s="178">
        <v>2728</v>
      </c>
      <c r="J520" s="32">
        <v>512</v>
      </c>
      <c r="K520" s="263">
        <f t="shared" si="19"/>
        <v>262144</v>
      </c>
    </row>
    <row r="521" spans="1:11">
      <c r="A521" s="179" t="s">
        <v>528</v>
      </c>
      <c r="B521" s="179" t="s">
        <v>517</v>
      </c>
      <c r="C521" s="186">
        <v>39336</v>
      </c>
      <c r="D521" s="188">
        <f t="shared" ref="D521:D571" si="20">YEAR(C521)</f>
        <v>2007</v>
      </c>
      <c r="E521" s="183" t="s">
        <v>523</v>
      </c>
      <c r="F521" s="178">
        <v>900</v>
      </c>
      <c r="G521" s="178">
        <v>17712</v>
      </c>
      <c r="H521" s="178">
        <v>7623</v>
      </c>
      <c r="I521" s="178">
        <v>10089</v>
      </c>
      <c r="J521" s="32">
        <v>513</v>
      </c>
      <c r="K521" s="263">
        <f t="shared" si="19"/>
        <v>263169</v>
      </c>
    </row>
    <row r="522" spans="1:11">
      <c r="A522" s="179" t="s">
        <v>423</v>
      </c>
      <c r="B522" s="179" t="s">
        <v>516</v>
      </c>
      <c r="C522" s="186">
        <v>39338</v>
      </c>
      <c r="D522" s="188">
        <f t="shared" si="20"/>
        <v>2007</v>
      </c>
      <c r="E522" s="183" t="s">
        <v>533</v>
      </c>
      <c r="F522" s="178">
        <v>500</v>
      </c>
      <c r="G522" s="178">
        <v>11330</v>
      </c>
      <c r="H522" s="178">
        <v>4920</v>
      </c>
      <c r="I522" s="178">
        <v>6410</v>
      </c>
      <c r="J522" s="32">
        <v>514</v>
      </c>
      <c r="K522" s="263">
        <f t="shared" ref="K522:K571" si="21">J522*J522</f>
        <v>264196</v>
      </c>
    </row>
    <row r="523" spans="1:11">
      <c r="A523" s="179" t="s">
        <v>528</v>
      </c>
      <c r="B523" s="179" t="s">
        <v>518</v>
      </c>
      <c r="C523" s="186">
        <v>39339</v>
      </c>
      <c r="D523" s="188">
        <f t="shared" si="20"/>
        <v>2007</v>
      </c>
      <c r="E523" s="183" t="s">
        <v>532</v>
      </c>
      <c r="F523" s="178">
        <v>200</v>
      </c>
      <c r="G523" s="178">
        <v>4264</v>
      </c>
      <c r="H523" s="178">
        <v>2044</v>
      </c>
      <c r="I523" s="178">
        <v>2220</v>
      </c>
      <c r="J523" s="32">
        <v>515</v>
      </c>
      <c r="K523" s="263">
        <f t="shared" si="21"/>
        <v>265225</v>
      </c>
    </row>
    <row r="524" spans="1:11">
      <c r="A524" s="179" t="s">
        <v>528</v>
      </c>
      <c r="B524" s="179" t="s">
        <v>518</v>
      </c>
      <c r="C524" s="186">
        <v>39344</v>
      </c>
      <c r="D524" s="188">
        <f t="shared" si="20"/>
        <v>2007</v>
      </c>
      <c r="E524" s="183" t="s">
        <v>523</v>
      </c>
      <c r="F524" s="178">
        <v>900</v>
      </c>
      <c r="G524" s="178">
        <v>22014</v>
      </c>
      <c r="H524" s="178">
        <v>9198</v>
      </c>
      <c r="I524" s="178">
        <v>12816</v>
      </c>
      <c r="J524" s="32">
        <v>516</v>
      </c>
      <c r="K524" s="263">
        <f t="shared" si="21"/>
        <v>266256</v>
      </c>
    </row>
    <row r="525" spans="1:11">
      <c r="A525" s="179" t="s">
        <v>429</v>
      </c>
      <c r="B525" s="179" t="s">
        <v>517</v>
      </c>
      <c r="C525" s="186">
        <v>39347</v>
      </c>
      <c r="D525" s="188">
        <f t="shared" si="20"/>
        <v>2007</v>
      </c>
      <c r="E525" s="183" t="s">
        <v>532</v>
      </c>
      <c r="F525" s="178">
        <v>800</v>
      </c>
      <c r="G525" s="178">
        <v>13936</v>
      </c>
      <c r="H525" s="178">
        <v>6776</v>
      </c>
      <c r="I525" s="178">
        <v>7160</v>
      </c>
      <c r="J525" s="32">
        <v>517</v>
      </c>
      <c r="K525" s="263">
        <f t="shared" si="21"/>
        <v>267289</v>
      </c>
    </row>
    <row r="526" spans="1:11">
      <c r="A526" s="179" t="s">
        <v>423</v>
      </c>
      <c r="B526" s="179" t="s">
        <v>516</v>
      </c>
      <c r="C526" s="186">
        <v>39350</v>
      </c>
      <c r="D526" s="188">
        <f t="shared" si="20"/>
        <v>2007</v>
      </c>
      <c r="E526" s="183" t="s">
        <v>530</v>
      </c>
      <c r="F526" s="178">
        <v>900</v>
      </c>
      <c r="G526" s="178">
        <v>19989</v>
      </c>
      <c r="H526" s="178">
        <v>8856</v>
      </c>
      <c r="I526" s="178">
        <v>11133</v>
      </c>
      <c r="J526" s="32">
        <v>518</v>
      </c>
      <c r="K526" s="263">
        <f t="shared" si="21"/>
        <v>268324</v>
      </c>
    </row>
    <row r="527" spans="1:11">
      <c r="A527" s="179" t="s">
        <v>423</v>
      </c>
      <c r="B527" s="179" t="s">
        <v>518</v>
      </c>
      <c r="C527" s="186">
        <v>39351</v>
      </c>
      <c r="D527" s="188">
        <f t="shared" si="20"/>
        <v>2007</v>
      </c>
      <c r="E527" s="183" t="s">
        <v>524</v>
      </c>
      <c r="F527" s="178">
        <v>100</v>
      </c>
      <c r="G527" s="178">
        <v>2466</v>
      </c>
      <c r="H527" s="178">
        <v>1022</v>
      </c>
      <c r="I527" s="178">
        <v>1444</v>
      </c>
      <c r="J527" s="32">
        <v>519</v>
      </c>
      <c r="K527" s="263">
        <f t="shared" si="21"/>
        <v>269361</v>
      </c>
    </row>
    <row r="528" spans="1:11">
      <c r="A528" s="179" t="s">
        <v>423</v>
      </c>
      <c r="B528" s="179" t="s">
        <v>517</v>
      </c>
      <c r="C528" s="186">
        <v>39353</v>
      </c>
      <c r="D528" s="188">
        <f t="shared" si="20"/>
        <v>2007</v>
      </c>
      <c r="E528" s="183" t="s">
        <v>534</v>
      </c>
      <c r="F528" s="178">
        <v>100</v>
      </c>
      <c r="G528" s="178">
        <v>1957</v>
      </c>
      <c r="H528" s="178">
        <v>847</v>
      </c>
      <c r="I528" s="178">
        <v>1110</v>
      </c>
      <c r="J528" s="32">
        <v>520</v>
      </c>
      <c r="K528" s="263">
        <f t="shared" si="21"/>
        <v>270400</v>
      </c>
    </row>
    <row r="529" spans="1:11">
      <c r="A529" s="179" t="s">
        <v>429</v>
      </c>
      <c r="B529" s="179" t="s">
        <v>517</v>
      </c>
      <c r="C529" s="186">
        <v>39354</v>
      </c>
      <c r="D529" s="188">
        <f t="shared" si="20"/>
        <v>2007</v>
      </c>
      <c r="E529" s="183" t="s">
        <v>525</v>
      </c>
      <c r="F529" s="178">
        <v>800</v>
      </c>
      <c r="G529" s="178">
        <v>16288</v>
      </c>
      <c r="H529" s="178">
        <v>6776</v>
      </c>
      <c r="I529" s="178">
        <v>9512</v>
      </c>
      <c r="J529" s="32">
        <v>521</v>
      </c>
      <c r="K529" s="263">
        <f t="shared" si="21"/>
        <v>271441</v>
      </c>
    </row>
    <row r="530" spans="1:11">
      <c r="A530" s="179" t="s">
        <v>423</v>
      </c>
      <c r="B530" s="179" t="s">
        <v>516</v>
      </c>
      <c r="C530" s="186">
        <v>39355</v>
      </c>
      <c r="D530" s="188">
        <f t="shared" si="20"/>
        <v>2007</v>
      </c>
      <c r="E530" s="183" t="s">
        <v>523</v>
      </c>
      <c r="F530" s="178">
        <v>800</v>
      </c>
      <c r="G530" s="178">
        <v>16016</v>
      </c>
      <c r="H530" s="178">
        <v>7872</v>
      </c>
      <c r="I530" s="178">
        <v>8144</v>
      </c>
      <c r="J530" s="32">
        <v>522</v>
      </c>
      <c r="K530" s="263">
        <f t="shared" si="21"/>
        <v>272484</v>
      </c>
    </row>
    <row r="531" spans="1:11">
      <c r="A531" s="179" t="s">
        <v>528</v>
      </c>
      <c r="B531" s="179" t="s">
        <v>516</v>
      </c>
      <c r="C531" s="186">
        <v>39369</v>
      </c>
      <c r="D531" s="188">
        <f t="shared" si="20"/>
        <v>2007</v>
      </c>
      <c r="E531" s="183" t="s">
        <v>534</v>
      </c>
      <c r="F531" s="178">
        <v>500</v>
      </c>
      <c r="G531" s="178">
        <v>11530</v>
      </c>
      <c r="H531" s="178">
        <v>4920</v>
      </c>
      <c r="I531" s="178">
        <v>6610</v>
      </c>
      <c r="J531" s="32">
        <v>523</v>
      </c>
      <c r="K531" s="263">
        <f t="shared" si="21"/>
        <v>273529</v>
      </c>
    </row>
    <row r="532" spans="1:11">
      <c r="A532" s="179" t="s">
        <v>528</v>
      </c>
      <c r="B532" s="179" t="s">
        <v>518</v>
      </c>
      <c r="C532" s="186">
        <v>39369</v>
      </c>
      <c r="D532" s="188">
        <f t="shared" si="20"/>
        <v>2007</v>
      </c>
      <c r="E532" s="183" t="s">
        <v>534</v>
      </c>
      <c r="F532" s="178">
        <v>300</v>
      </c>
      <c r="G532" s="178">
        <v>6438</v>
      </c>
      <c r="H532" s="178">
        <v>3066</v>
      </c>
      <c r="I532" s="178">
        <v>3372</v>
      </c>
      <c r="J532" s="32">
        <v>524</v>
      </c>
      <c r="K532" s="263">
        <f t="shared" si="21"/>
        <v>274576</v>
      </c>
    </row>
    <row r="533" spans="1:11">
      <c r="A533" s="179" t="s">
        <v>429</v>
      </c>
      <c r="B533" s="179" t="s">
        <v>517</v>
      </c>
      <c r="C533" s="186">
        <v>39371</v>
      </c>
      <c r="D533" s="188">
        <f t="shared" si="20"/>
        <v>2007</v>
      </c>
      <c r="E533" s="183" t="s">
        <v>533</v>
      </c>
      <c r="F533" s="178">
        <v>400</v>
      </c>
      <c r="G533" s="178">
        <v>8456</v>
      </c>
      <c r="H533" s="178">
        <v>3388</v>
      </c>
      <c r="I533" s="178">
        <v>5068</v>
      </c>
      <c r="J533" s="32">
        <v>525</v>
      </c>
      <c r="K533" s="263">
        <f t="shared" si="21"/>
        <v>275625</v>
      </c>
    </row>
    <row r="534" spans="1:11">
      <c r="A534" s="179" t="s">
        <v>528</v>
      </c>
      <c r="B534" s="179" t="s">
        <v>517</v>
      </c>
      <c r="C534" s="186">
        <v>39373</v>
      </c>
      <c r="D534" s="188">
        <f t="shared" si="20"/>
        <v>2007</v>
      </c>
      <c r="E534" s="183" t="s">
        <v>531</v>
      </c>
      <c r="F534" s="178">
        <v>600</v>
      </c>
      <c r="G534" s="178">
        <v>11124</v>
      </c>
      <c r="H534" s="178">
        <v>5082</v>
      </c>
      <c r="I534" s="178">
        <v>6042</v>
      </c>
      <c r="J534" s="32">
        <v>526</v>
      </c>
      <c r="K534" s="263">
        <f t="shared" si="21"/>
        <v>276676</v>
      </c>
    </row>
    <row r="535" spans="1:11">
      <c r="A535" s="179" t="s">
        <v>429</v>
      </c>
      <c r="B535" s="179" t="s">
        <v>516</v>
      </c>
      <c r="C535" s="186">
        <v>39373</v>
      </c>
      <c r="D535" s="188">
        <f t="shared" si="20"/>
        <v>2007</v>
      </c>
      <c r="E535" s="183" t="s">
        <v>529</v>
      </c>
      <c r="F535" s="178">
        <v>600</v>
      </c>
      <c r="G535" s="178">
        <v>13332</v>
      </c>
      <c r="H535" s="178">
        <v>5904</v>
      </c>
      <c r="I535" s="178">
        <v>7428</v>
      </c>
      <c r="J535" s="32">
        <v>527</v>
      </c>
      <c r="K535" s="263">
        <f t="shared" si="21"/>
        <v>277729</v>
      </c>
    </row>
    <row r="536" spans="1:11">
      <c r="A536" s="179" t="s">
        <v>423</v>
      </c>
      <c r="B536" s="179" t="s">
        <v>517</v>
      </c>
      <c r="C536" s="186">
        <v>39378</v>
      </c>
      <c r="D536" s="188">
        <f t="shared" si="20"/>
        <v>2007</v>
      </c>
      <c r="E536" s="183" t="s">
        <v>530</v>
      </c>
      <c r="F536" s="178">
        <v>500</v>
      </c>
      <c r="G536" s="178">
        <v>9575</v>
      </c>
      <c r="H536" s="178">
        <v>4235</v>
      </c>
      <c r="I536" s="178">
        <v>5340</v>
      </c>
      <c r="J536" s="32">
        <v>528</v>
      </c>
      <c r="K536" s="263">
        <f t="shared" si="21"/>
        <v>278784</v>
      </c>
    </row>
    <row r="537" spans="1:11">
      <c r="A537" s="179" t="s">
        <v>423</v>
      </c>
      <c r="B537" s="179" t="s">
        <v>518</v>
      </c>
      <c r="C537" s="186">
        <v>39378</v>
      </c>
      <c r="D537" s="188">
        <f t="shared" si="20"/>
        <v>2007</v>
      </c>
      <c r="E537" s="183" t="s">
        <v>529</v>
      </c>
      <c r="F537" s="178">
        <v>800</v>
      </c>
      <c r="G537" s="178">
        <v>17496</v>
      </c>
      <c r="H537" s="178">
        <v>8176</v>
      </c>
      <c r="I537" s="178">
        <v>9320</v>
      </c>
      <c r="J537" s="32">
        <v>529</v>
      </c>
      <c r="K537" s="263">
        <f t="shared" si="21"/>
        <v>279841</v>
      </c>
    </row>
    <row r="538" spans="1:11">
      <c r="A538" s="179" t="s">
        <v>528</v>
      </c>
      <c r="B538" s="179" t="s">
        <v>518</v>
      </c>
      <c r="C538" s="186">
        <v>39378</v>
      </c>
      <c r="D538" s="188">
        <f t="shared" si="20"/>
        <v>2007</v>
      </c>
      <c r="E538" s="183" t="s">
        <v>523</v>
      </c>
      <c r="F538" s="178">
        <v>500</v>
      </c>
      <c r="G538" s="178">
        <v>11240</v>
      </c>
      <c r="H538" s="178">
        <v>5110</v>
      </c>
      <c r="I538" s="178">
        <v>6130</v>
      </c>
      <c r="J538" s="32">
        <v>530</v>
      </c>
      <c r="K538" s="263">
        <f t="shared" si="21"/>
        <v>280900</v>
      </c>
    </row>
    <row r="539" spans="1:11">
      <c r="A539" s="179" t="s">
        <v>528</v>
      </c>
      <c r="B539" s="179" t="s">
        <v>518</v>
      </c>
      <c r="C539" s="186">
        <v>39379</v>
      </c>
      <c r="D539" s="188">
        <f t="shared" si="20"/>
        <v>2007</v>
      </c>
      <c r="E539" s="183" t="s">
        <v>533</v>
      </c>
      <c r="F539" s="178">
        <v>500</v>
      </c>
      <c r="G539" s="178">
        <v>12505</v>
      </c>
      <c r="H539" s="178">
        <v>5110</v>
      </c>
      <c r="I539" s="178">
        <v>7395</v>
      </c>
      <c r="J539" s="32">
        <v>531</v>
      </c>
      <c r="K539" s="263">
        <f t="shared" si="21"/>
        <v>281961</v>
      </c>
    </row>
    <row r="540" spans="1:11">
      <c r="A540" s="179" t="s">
        <v>528</v>
      </c>
      <c r="B540" s="179" t="s">
        <v>518</v>
      </c>
      <c r="C540" s="186">
        <v>39379</v>
      </c>
      <c r="D540" s="188">
        <f t="shared" si="20"/>
        <v>2007</v>
      </c>
      <c r="E540" s="183" t="s">
        <v>538</v>
      </c>
      <c r="F540" s="178">
        <v>400</v>
      </c>
      <c r="G540" s="178">
        <v>9660</v>
      </c>
      <c r="H540" s="178">
        <v>4088</v>
      </c>
      <c r="I540" s="178">
        <v>5572</v>
      </c>
      <c r="J540" s="32">
        <v>532</v>
      </c>
      <c r="K540" s="263">
        <f t="shared" si="21"/>
        <v>283024</v>
      </c>
    </row>
    <row r="541" spans="1:11">
      <c r="A541" s="179" t="s">
        <v>429</v>
      </c>
      <c r="B541" s="179" t="s">
        <v>516</v>
      </c>
      <c r="C541" s="186">
        <v>39384</v>
      </c>
      <c r="D541" s="188">
        <f t="shared" si="20"/>
        <v>2007</v>
      </c>
      <c r="E541" s="183" t="s">
        <v>531</v>
      </c>
      <c r="F541" s="178">
        <v>300</v>
      </c>
      <c r="G541" s="178">
        <v>6240</v>
      </c>
      <c r="H541" s="178">
        <v>2952</v>
      </c>
      <c r="I541" s="178">
        <v>3288</v>
      </c>
      <c r="J541" s="32">
        <v>533</v>
      </c>
      <c r="K541" s="263">
        <f t="shared" si="21"/>
        <v>284089</v>
      </c>
    </row>
    <row r="542" spans="1:11">
      <c r="A542" s="179" t="s">
        <v>528</v>
      </c>
      <c r="B542" s="179" t="s">
        <v>516</v>
      </c>
      <c r="C542" s="186">
        <v>39385</v>
      </c>
      <c r="D542" s="188">
        <f t="shared" si="20"/>
        <v>2007</v>
      </c>
      <c r="E542" s="183" t="s">
        <v>549</v>
      </c>
      <c r="F542" s="178">
        <v>900</v>
      </c>
      <c r="G542" s="178">
        <v>20610</v>
      </c>
      <c r="H542" s="178">
        <v>8856</v>
      </c>
      <c r="I542" s="178">
        <v>11754</v>
      </c>
      <c r="J542" s="32">
        <v>534</v>
      </c>
      <c r="K542" s="263">
        <f t="shared" si="21"/>
        <v>285156</v>
      </c>
    </row>
    <row r="543" spans="1:11">
      <c r="A543" s="179" t="s">
        <v>528</v>
      </c>
      <c r="B543" s="179" t="s">
        <v>517</v>
      </c>
      <c r="C543" s="186">
        <v>39385</v>
      </c>
      <c r="D543" s="188">
        <f t="shared" si="20"/>
        <v>2007</v>
      </c>
      <c r="E543" s="183" t="s">
        <v>529</v>
      </c>
      <c r="F543" s="178">
        <v>300</v>
      </c>
      <c r="G543" s="178">
        <v>6156</v>
      </c>
      <c r="H543" s="178">
        <v>2541</v>
      </c>
      <c r="I543" s="178">
        <v>3615</v>
      </c>
      <c r="J543" s="32">
        <v>535</v>
      </c>
      <c r="K543" s="263">
        <f t="shared" si="21"/>
        <v>286225</v>
      </c>
    </row>
    <row r="544" spans="1:11">
      <c r="A544" s="179" t="s">
        <v>429</v>
      </c>
      <c r="B544" s="179" t="s">
        <v>518</v>
      </c>
      <c r="C544" s="186">
        <v>39387</v>
      </c>
      <c r="D544" s="188">
        <f t="shared" si="20"/>
        <v>2007</v>
      </c>
      <c r="E544" s="183" t="s">
        <v>523</v>
      </c>
      <c r="F544" s="178">
        <v>500</v>
      </c>
      <c r="G544" s="178">
        <v>10645</v>
      </c>
      <c r="H544" s="178">
        <v>5110</v>
      </c>
      <c r="I544" s="178">
        <v>5535</v>
      </c>
      <c r="J544" s="32">
        <v>536</v>
      </c>
      <c r="K544" s="263">
        <f t="shared" si="21"/>
        <v>287296</v>
      </c>
    </row>
    <row r="545" spans="1:11">
      <c r="A545" s="179" t="s">
        <v>429</v>
      </c>
      <c r="B545" s="179" t="s">
        <v>516</v>
      </c>
      <c r="C545" s="186">
        <v>39388</v>
      </c>
      <c r="D545" s="188">
        <f t="shared" si="20"/>
        <v>2007</v>
      </c>
      <c r="E545" s="183" t="s">
        <v>533</v>
      </c>
      <c r="F545" s="178">
        <v>1000</v>
      </c>
      <c r="G545" s="178">
        <v>20090</v>
      </c>
      <c r="H545" s="178">
        <v>9840</v>
      </c>
      <c r="I545" s="178">
        <v>10250</v>
      </c>
      <c r="J545" s="32">
        <v>537</v>
      </c>
      <c r="K545" s="263">
        <f t="shared" si="21"/>
        <v>288369</v>
      </c>
    </row>
    <row r="546" spans="1:11">
      <c r="A546" s="179" t="s">
        <v>528</v>
      </c>
      <c r="B546" s="179" t="s">
        <v>518</v>
      </c>
      <c r="C546" s="186">
        <v>39390</v>
      </c>
      <c r="D546" s="188">
        <f t="shared" si="20"/>
        <v>2007</v>
      </c>
      <c r="E546" s="183" t="s">
        <v>532</v>
      </c>
      <c r="F546" s="178">
        <v>200</v>
      </c>
      <c r="G546" s="178">
        <v>4262</v>
      </c>
      <c r="H546" s="178">
        <v>2044</v>
      </c>
      <c r="I546" s="178">
        <v>2218</v>
      </c>
      <c r="J546" s="32">
        <v>538</v>
      </c>
      <c r="K546" s="263">
        <f t="shared" si="21"/>
        <v>289444</v>
      </c>
    </row>
    <row r="547" spans="1:11">
      <c r="A547" s="179" t="s">
        <v>423</v>
      </c>
      <c r="B547" s="179" t="s">
        <v>516</v>
      </c>
      <c r="C547" s="186">
        <v>39396</v>
      </c>
      <c r="D547" s="188">
        <f t="shared" si="20"/>
        <v>2007</v>
      </c>
      <c r="E547" s="183" t="s">
        <v>529</v>
      </c>
      <c r="F547" s="178">
        <v>100</v>
      </c>
      <c r="G547" s="178">
        <v>2157</v>
      </c>
      <c r="H547" s="178">
        <v>984</v>
      </c>
      <c r="I547" s="178">
        <v>1173</v>
      </c>
      <c r="J547" s="32">
        <v>539</v>
      </c>
      <c r="K547" s="263">
        <f t="shared" si="21"/>
        <v>290521</v>
      </c>
    </row>
    <row r="548" spans="1:11">
      <c r="A548" s="179" t="s">
        <v>528</v>
      </c>
      <c r="B548" s="179" t="s">
        <v>516</v>
      </c>
      <c r="C548" s="186">
        <v>39396</v>
      </c>
      <c r="D548" s="188">
        <f t="shared" si="20"/>
        <v>2007</v>
      </c>
      <c r="E548" s="183" t="s">
        <v>523</v>
      </c>
      <c r="F548" s="178">
        <v>800</v>
      </c>
      <c r="G548" s="178">
        <v>18504</v>
      </c>
      <c r="H548" s="178">
        <v>7872</v>
      </c>
      <c r="I548" s="178">
        <v>10632</v>
      </c>
      <c r="J548" s="32">
        <v>540</v>
      </c>
      <c r="K548" s="263">
        <f t="shared" si="21"/>
        <v>291600</v>
      </c>
    </row>
    <row r="549" spans="1:11">
      <c r="A549" s="179" t="s">
        <v>528</v>
      </c>
      <c r="B549" s="179" t="s">
        <v>516</v>
      </c>
      <c r="C549" s="186">
        <v>39398</v>
      </c>
      <c r="D549" s="188">
        <f t="shared" si="20"/>
        <v>2007</v>
      </c>
      <c r="E549" s="183" t="s">
        <v>525</v>
      </c>
      <c r="F549" s="178">
        <v>900</v>
      </c>
      <c r="G549" s="178">
        <v>21357</v>
      </c>
      <c r="H549" s="178">
        <v>8856</v>
      </c>
      <c r="I549" s="178">
        <v>12501</v>
      </c>
      <c r="J549" s="32">
        <v>541</v>
      </c>
      <c r="K549" s="263">
        <f t="shared" si="21"/>
        <v>292681</v>
      </c>
    </row>
    <row r="550" spans="1:11">
      <c r="A550" s="179" t="s">
        <v>423</v>
      </c>
      <c r="B550" s="179" t="s">
        <v>517</v>
      </c>
      <c r="C550" s="186">
        <v>39398</v>
      </c>
      <c r="D550" s="188">
        <f t="shared" si="20"/>
        <v>2007</v>
      </c>
      <c r="E550" s="183" t="s">
        <v>530</v>
      </c>
      <c r="F550" s="178">
        <v>800</v>
      </c>
      <c r="G550" s="178">
        <v>16144</v>
      </c>
      <c r="H550" s="178">
        <v>6776</v>
      </c>
      <c r="I550" s="178">
        <v>9368</v>
      </c>
      <c r="J550" s="32">
        <v>542</v>
      </c>
      <c r="K550" s="263">
        <f t="shared" si="21"/>
        <v>293764</v>
      </c>
    </row>
    <row r="551" spans="1:11">
      <c r="A551" s="179" t="s">
        <v>429</v>
      </c>
      <c r="B551" s="179" t="s">
        <v>516</v>
      </c>
      <c r="C551" s="186">
        <v>39400</v>
      </c>
      <c r="D551" s="188">
        <f t="shared" si="20"/>
        <v>2007</v>
      </c>
      <c r="E551" s="183" t="s">
        <v>523</v>
      </c>
      <c r="F551" s="178">
        <v>500</v>
      </c>
      <c r="G551" s="178">
        <v>9890</v>
      </c>
      <c r="H551" s="178">
        <v>4920</v>
      </c>
      <c r="I551" s="178">
        <v>4970</v>
      </c>
      <c r="J551" s="32">
        <v>543</v>
      </c>
      <c r="K551" s="263">
        <f t="shared" si="21"/>
        <v>294849</v>
      </c>
    </row>
    <row r="552" spans="1:11">
      <c r="A552" s="179" t="s">
        <v>423</v>
      </c>
      <c r="B552" s="179" t="s">
        <v>517</v>
      </c>
      <c r="C552" s="186">
        <v>39405</v>
      </c>
      <c r="D552" s="188">
        <f t="shared" si="20"/>
        <v>2007</v>
      </c>
      <c r="E552" s="183" t="s">
        <v>531</v>
      </c>
      <c r="F552" s="178">
        <v>100</v>
      </c>
      <c r="G552" s="178">
        <v>1882</v>
      </c>
      <c r="H552" s="178">
        <v>847</v>
      </c>
      <c r="I552" s="178">
        <v>1035</v>
      </c>
      <c r="J552" s="32">
        <v>544</v>
      </c>
      <c r="K552" s="263">
        <f t="shared" si="21"/>
        <v>295936</v>
      </c>
    </row>
    <row r="553" spans="1:11">
      <c r="A553" s="179" t="s">
        <v>423</v>
      </c>
      <c r="B553" s="179" t="s">
        <v>518</v>
      </c>
      <c r="C553" s="186">
        <v>39405</v>
      </c>
      <c r="D553" s="188">
        <f t="shared" si="20"/>
        <v>2007</v>
      </c>
      <c r="E553" s="183" t="s">
        <v>529</v>
      </c>
      <c r="F553" s="178">
        <v>500</v>
      </c>
      <c r="G553" s="178">
        <v>12575</v>
      </c>
      <c r="H553" s="178">
        <v>5110</v>
      </c>
      <c r="I553" s="178">
        <v>7465</v>
      </c>
      <c r="J553" s="32">
        <v>545</v>
      </c>
      <c r="K553" s="263">
        <f t="shared" si="21"/>
        <v>297025</v>
      </c>
    </row>
    <row r="554" spans="1:11">
      <c r="A554" s="179" t="s">
        <v>429</v>
      </c>
      <c r="B554" s="179" t="s">
        <v>517</v>
      </c>
      <c r="C554" s="186">
        <v>39405</v>
      </c>
      <c r="D554" s="188">
        <f t="shared" si="20"/>
        <v>2007</v>
      </c>
      <c r="E554" s="183" t="s">
        <v>524</v>
      </c>
      <c r="F554" s="178">
        <v>500</v>
      </c>
      <c r="G554" s="178">
        <v>10245</v>
      </c>
      <c r="H554" s="178">
        <v>4235</v>
      </c>
      <c r="I554" s="178">
        <v>6010</v>
      </c>
      <c r="J554" s="32">
        <v>546</v>
      </c>
      <c r="K554" s="263">
        <f t="shared" si="21"/>
        <v>298116</v>
      </c>
    </row>
    <row r="555" spans="1:11">
      <c r="A555" s="179" t="s">
        <v>528</v>
      </c>
      <c r="B555" s="179" t="s">
        <v>517</v>
      </c>
      <c r="C555" s="186">
        <v>39409</v>
      </c>
      <c r="D555" s="188">
        <f t="shared" si="20"/>
        <v>2007</v>
      </c>
      <c r="E555" s="183" t="s">
        <v>533</v>
      </c>
      <c r="F555" s="178">
        <v>700</v>
      </c>
      <c r="G555" s="178">
        <v>11858</v>
      </c>
      <c r="H555" s="178">
        <v>5929</v>
      </c>
      <c r="I555" s="178">
        <v>5929</v>
      </c>
      <c r="J555" s="32">
        <v>547</v>
      </c>
      <c r="K555" s="263">
        <f t="shared" si="21"/>
        <v>299209</v>
      </c>
    </row>
    <row r="556" spans="1:11">
      <c r="A556" s="179" t="s">
        <v>429</v>
      </c>
      <c r="B556" s="179" t="s">
        <v>516</v>
      </c>
      <c r="C556" s="186">
        <v>39411</v>
      </c>
      <c r="D556" s="188">
        <f t="shared" si="20"/>
        <v>2007</v>
      </c>
      <c r="E556" s="183" t="s">
        <v>542</v>
      </c>
      <c r="F556" s="178">
        <v>100</v>
      </c>
      <c r="G556" s="178">
        <v>2029</v>
      </c>
      <c r="H556" s="178">
        <v>984</v>
      </c>
      <c r="I556" s="178">
        <v>1045</v>
      </c>
      <c r="J556" s="32">
        <v>548</v>
      </c>
      <c r="K556" s="263">
        <f t="shared" si="21"/>
        <v>300304</v>
      </c>
    </row>
    <row r="557" spans="1:11">
      <c r="A557" s="179" t="s">
        <v>528</v>
      </c>
      <c r="B557" s="179" t="s">
        <v>516</v>
      </c>
      <c r="C557" s="186">
        <v>39412</v>
      </c>
      <c r="D557" s="188">
        <f t="shared" si="20"/>
        <v>2007</v>
      </c>
      <c r="E557" s="183" t="s">
        <v>524</v>
      </c>
      <c r="F557" s="178">
        <v>700</v>
      </c>
      <c r="G557" s="178">
        <v>15680</v>
      </c>
      <c r="H557" s="178">
        <v>6888</v>
      </c>
      <c r="I557" s="178">
        <v>8792</v>
      </c>
      <c r="J557" s="32">
        <v>549</v>
      </c>
      <c r="K557" s="263">
        <f t="shared" si="21"/>
        <v>301401</v>
      </c>
    </row>
    <row r="558" spans="1:11">
      <c r="A558" s="179" t="s">
        <v>528</v>
      </c>
      <c r="B558" s="179" t="s">
        <v>517</v>
      </c>
      <c r="C558" s="186">
        <v>39419</v>
      </c>
      <c r="D558" s="188">
        <f t="shared" si="20"/>
        <v>2007</v>
      </c>
      <c r="E558" s="183" t="s">
        <v>531</v>
      </c>
      <c r="F558" s="178">
        <v>700</v>
      </c>
      <c r="G558" s="178">
        <v>13314</v>
      </c>
      <c r="H558" s="178">
        <v>5929</v>
      </c>
      <c r="I558" s="178">
        <v>7385</v>
      </c>
      <c r="J558" s="32">
        <v>550</v>
      </c>
      <c r="K558" s="263">
        <f t="shared" si="21"/>
        <v>302500</v>
      </c>
    </row>
    <row r="559" spans="1:11">
      <c r="A559" s="179" t="s">
        <v>429</v>
      </c>
      <c r="B559" s="179" t="s">
        <v>517</v>
      </c>
      <c r="C559" s="186">
        <v>39420</v>
      </c>
      <c r="D559" s="188">
        <f t="shared" si="20"/>
        <v>2007</v>
      </c>
      <c r="E559" s="183" t="s">
        <v>530</v>
      </c>
      <c r="F559" s="178">
        <v>600</v>
      </c>
      <c r="G559" s="178">
        <v>11628</v>
      </c>
      <c r="H559" s="178">
        <v>5082</v>
      </c>
      <c r="I559" s="178">
        <v>6546</v>
      </c>
      <c r="J559" s="32">
        <v>551</v>
      </c>
      <c r="K559" s="263">
        <f t="shared" si="21"/>
        <v>303601</v>
      </c>
    </row>
    <row r="560" spans="1:11">
      <c r="A560" s="179" t="s">
        <v>429</v>
      </c>
      <c r="B560" s="179" t="s">
        <v>517</v>
      </c>
      <c r="C560" s="186">
        <v>39428</v>
      </c>
      <c r="D560" s="188">
        <f t="shared" si="20"/>
        <v>2007</v>
      </c>
      <c r="E560" s="183" t="s">
        <v>523</v>
      </c>
      <c r="F560" s="178">
        <v>600</v>
      </c>
      <c r="G560" s="178">
        <v>11208</v>
      </c>
      <c r="H560" s="178">
        <v>5082</v>
      </c>
      <c r="I560" s="178">
        <v>6126</v>
      </c>
      <c r="J560" s="32">
        <v>552</v>
      </c>
      <c r="K560" s="263">
        <f t="shared" si="21"/>
        <v>304704</v>
      </c>
    </row>
    <row r="561" spans="1:11">
      <c r="A561" s="179" t="s">
        <v>429</v>
      </c>
      <c r="B561" s="179" t="s">
        <v>517</v>
      </c>
      <c r="C561" s="186">
        <v>39430</v>
      </c>
      <c r="D561" s="188">
        <f t="shared" si="20"/>
        <v>2007</v>
      </c>
      <c r="E561" s="183" t="s">
        <v>534</v>
      </c>
      <c r="F561" s="178">
        <v>600</v>
      </c>
      <c r="G561" s="178">
        <v>12606</v>
      </c>
      <c r="H561" s="178">
        <v>5082</v>
      </c>
      <c r="I561" s="178">
        <v>7524</v>
      </c>
      <c r="J561" s="32">
        <v>553</v>
      </c>
      <c r="K561" s="263">
        <f t="shared" si="21"/>
        <v>305809</v>
      </c>
    </row>
    <row r="562" spans="1:11">
      <c r="A562" s="179" t="s">
        <v>429</v>
      </c>
      <c r="B562" s="179" t="s">
        <v>518</v>
      </c>
      <c r="C562" s="186">
        <v>39438</v>
      </c>
      <c r="D562" s="188">
        <f t="shared" si="20"/>
        <v>2007</v>
      </c>
      <c r="E562" s="183" t="s">
        <v>537</v>
      </c>
      <c r="F562" s="178">
        <v>1000</v>
      </c>
      <c r="G562" s="178">
        <v>23990</v>
      </c>
      <c r="H562" s="178">
        <v>10220</v>
      </c>
      <c r="I562" s="178">
        <v>13770</v>
      </c>
      <c r="J562" s="32">
        <v>554</v>
      </c>
      <c r="K562" s="263">
        <f t="shared" si="21"/>
        <v>306916</v>
      </c>
    </row>
    <row r="563" spans="1:11">
      <c r="A563" s="179" t="s">
        <v>429</v>
      </c>
      <c r="B563" s="179" t="s">
        <v>516</v>
      </c>
      <c r="C563" s="186">
        <v>39438</v>
      </c>
      <c r="D563" s="188">
        <f t="shared" si="20"/>
        <v>2007</v>
      </c>
      <c r="E563" s="183" t="s">
        <v>533</v>
      </c>
      <c r="F563" s="178">
        <v>700</v>
      </c>
      <c r="G563" s="178">
        <v>16408</v>
      </c>
      <c r="H563" s="178">
        <v>6888</v>
      </c>
      <c r="I563" s="178">
        <v>9520</v>
      </c>
      <c r="J563" s="32">
        <v>555</v>
      </c>
      <c r="K563" s="263">
        <f t="shared" si="21"/>
        <v>308025</v>
      </c>
    </row>
    <row r="564" spans="1:11">
      <c r="A564" s="179" t="s">
        <v>423</v>
      </c>
      <c r="B564" s="179" t="s">
        <v>517</v>
      </c>
      <c r="C564" s="186">
        <v>39441</v>
      </c>
      <c r="D564" s="188">
        <f t="shared" si="20"/>
        <v>2007</v>
      </c>
      <c r="E564" s="183" t="s">
        <v>534</v>
      </c>
      <c r="F564" s="178">
        <v>500</v>
      </c>
      <c r="G564" s="178">
        <v>8780</v>
      </c>
      <c r="H564" s="178">
        <v>4235</v>
      </c>
      <c r="I564" s="178">
        <v>4545</v>
      </c>
      <c r="J564" s="32">
        <v>556</v>
      </c>
      <c r="K564" s="263">
        <f t="shared" si="21"/>
        <v>309136</v>
      </c>
    </row>
    <row r="565" spans="1:11">
      <c r="A565" s="179" t="s">
        <v>429</v>
      </c>
      <c r="B565" s="179" t="s">
        <v>517</v>
      </c>
      <c r="C565" s="186">
        <v>39441</v>
      </c>
      <c r="D565" s="188">
        <f t="shared" si="20"/>
        <v>2007</v>
      </c>
      <c r="E565" s="183" t="s">
        <v>532</v>
      </c>
      <c r="F565" s="178">
        <v>900</v>
      </c>
      <c r="G565" s="178">
        <v>18243</v>
      </c>
      <c r="H565" s="178">
        <v>7623</v>
      </c>
      <c r="I565" s="178">
        <v>10620</v>
      </c>
      <c r="J565" s="32">
        <v>557</v>
      </c>
      <c r="K565" s="263">
        <f t="shared" si="21"/>
        <v>310249</v>
      </c>
    </row>
    <row r="566" spans="1:11">
      <c r="A566" s="179" t="s">
        <v>528</v>
      </c>
      <c r="B566" s="179" t="s">
        <v>517</v>
      </c>
      <c r="C566" s="186">
        <v>39442</v>
      </c>
      <c r="D566" s="188">
        <f t="shared" si="20"/>
        <v>2007</v>
      </c>
      <c r="E566" s="183" t="s">
        <v>529</v>
      </c>
      <c r="F566" s="178">
        <v>200</v>
      </c>
      <c r="G566" s="178">
        <v>3802</v>
      </c>
      <c r="H566" s="178">
        <v>1694</v>
      </c>
      <c r="I566" s="178">
        <v>2108</v>
      </c>
      <c r="J566" s="32">
        <v>558</v>
      </c>
      <c r="K566" s="263">
        <f t="shared" si="21"/>
        <v>311364</v>
      </c>
    </row>
    <row r="567" spans="1:11">
      <c r="A567" s="179" t="s">
        <v>528</v>
      </c>
      <c r="B567" s="179" t="s">
        <v>516</v>
      </c>
      <c r="C567" s="186">
        <v>39445</v>
      </c>
      <c r="D567" s="188">
        <f t="shared" si="20"/>
        <v>2007</v>
      </c>
      <c r="E567" s="183" t="s">
        <v>525</v>
      </c>
      <c r="F567" s="178">
        <v>500</v>
      </c>
      <c r="G567" s="178">
        <v>10195</v>
      </c>
      <c r="H567" s="178">
        <v>4920</v>
      </c>
      <c r="I567" s="178">
        <v>5275</v>
      </c>
      <c r="J567" s="32">
        <v>559</v>
      </c>
      <c r="K567" s="263">
        <f t="shared" si="21"/>
        <v>312481</v>
      </c>
    </row>
    <row r="568" spans="1:11">
      <c r="A568" s="179" t="s">
        <v>429</v>
      </c>
      <c r="B568" s="179" t="s">
        <v>517</v>
      </c>
      <c r="C568" s="186">
        <v>39445</v>
      </c>
      <c r="D568" s="188">
        <f t="shared" si="20"/>
        <v>2007</v>
      </c>
      <c r="E568" s="183" t="s">
        <v>547</v>
      </c>
      <c r="F568" s="178">
        <v>800</v>
      </c>
      <c r="G568" s="178">
        <v>14440</v>
      </c>
      <c r="H568" s="178">
        <v>6776</v>
      </c>
      <c r="I568" s="178">
        <v>7664</v>
      </c>
      <c r="J568" s="32">
        <v>560</v>
      </c>
      <c r="K568" s="263">
        <f t="shared" si="21"/>
        <v>313600</v>
      </c>
    </row>
    <row r="569" spans="1:11">
      <c r="A569" s="179" t="s">
        <v>528</v>
      </c>
      <c r="B569" s="179" t="s">
        <v>518</v>
      </c>
      <c r="C569" s="186">
        <v>39446</v>
      </c>
      <c r="D569" s="188">
        <f t="shared" si="20"/>
        <v>2007</v>
      </c>
      <c r="E569" s="183" t="s">
        <v>531</v>
      </c>
      <c r="F569" s="178">
        <v>500</v>
      </c>
      <c r="G569" s="178">
        <v>11000</v>
      </c>
      <c r="H569" s="178">
        <v>5110</v>
      </c>
      <c r="I569" s="178">
        <v>5890</v>
      </c>
      <c r="J569" s="32">
        <v>561</v>
      </c>
      <c r="K569" s="263">
        <f t="shared" si="21"/>
        <v>314721</v>
      </c>
    </row>
    <row r="570" spans="1:11">
      <c r="A570" s="179" t="s">
        <v>429</v>
      </c>
      <c r="B570" s="179" t="s">
        <v>516</v>
      </c>
      <c r="C570" s="186">
        <v>39446</v>
      </c>
      <c r="D570" s="188">
        <f t="shared" si="20"/>
        <v>2007</v>
      </c>
      <c r="E570" s="183" t="s">
        <v>534</v>
      </c>
      <c r="F570" s="178">
        <v>400</v>
      </c>
      <c r="G570" s="178">
        <v>8592</v>
      </c>
      <c r="H570" s="178">
        <v>3936</v>
      </c>
      <c r="I570" s="178">
        <v>4656</v>
      </c>
      <c r="J570" s="32">
        <v>562</v>
      </c>
      <c r="K570" s="263">
        <f t="shared" si="21"/>
        <v>315844</v>
      </c>
    </row>
    <row r="571" spans="1:11">
      <c r="A571" s="179" t="s">
        <v>528</v>
      </c>
      <c r="B571" s="179" t="s">
        <v>518</v>
      </c>
      <c r="C571" s="186">
        <v>39447</v>
      </c>
      <c r="D571" s="188">
        <f t="shared" si="20"/>
        <v>2007</v>
      </c>
      <c r="E571" s="183" t="s">
        <v>529</v>
      </c>
      <c r="F571" s="178">
        <v>500</v>
      </c>
      <c r="G571" s="178">
        <v>12550</v>
      </c>
      <c r="H571" s="178">
        <v>5110</v>
      </c>
      <c r="I571" s="178">
        <v>7440</v>
      </c>
      <c r="J571" s="32">
        <v>563</v>
      </c>
      <c r="K571" s="263">
        <f t="shared" si="21"/>
        <v>316969</v>
      </c>
    </row>
  </sheetData>
  <sortState xmlns:xlrd2="http://schemas.microsoft.com/office/spreadsheetml/2017/richdata2" ref="M9:P36">
    <sortCondition ref="M8"/>
  </sortState>
  <dataValidations count="2">
    <dataValidation type="list" allowBlank="1" showInputMessage="1" showErrorMessage="1" sqref="G1" xr:uid="{FBEA56CB-5968-4EBE-8459-4401F7BC4329}">
      <formula1>"Easr,West,Central"</formula1>
    </dataValidation>
    <dataValidation type="list" allowBlank="1" showInputMessage="1" showErrorMessage="1" sqref="F2" xr:uid="{DAF535B2-4780-49CA-8E52-06E6224EC1F4}">
      <formula1>"East, West, Central"</formula1>
    </dataValidation>
  </dataValidation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A1C4-B369-4461-8F29-BEDA4A741107}">
  <sheetPr codeName="Sheet32"/>
  <dimension ref="A1:O564"/>
  <sheetViews>
    <sheetView topLeftCell="A536" zoomScale="115" zoomScaleNormal="115" workbookViewId="0">
      <selection sqref="A1:I564"/>
    </sheetView>
  </sheetViews>
  <sheetFormatPr defaultRowHeight="15"/>
  <cols>
    <col min="14" max="14" width="12.44140625" bestFit="1" customWidth="1"/>
  </cols>
  <sheetData>
    <row r="1" spans="1:15" ht="15.75">
      <c r="A1" s="189" t="s">
        <v>415</v>
      </c>
      <c r="B1" s="189" t="s">
        <v>401</v>
      </c>
      <c r="C1" s="190" t="s">
        <v>519</v>
      </c>
      <c r="D1" s="190" t="s">
        <v>419</v>
      </c>
      <c r="E1" s="189" t="s">
        <v>520</v>
      </c>
      <c r="F1" s="190" t="s">
        <v>521</v>
      </c>
      <c r="G1" s="190" t="s">
        <v>417</v>
      </c>
      <c r="H1" s="190" t="s">
        <v>522</v>
      </c>
      <c r="I1" s="190" t="s">
        <v>496</v>
      </c>
      <c r="L1" s="190" t="s">
        <v>401</v>
      </c>
      <c r="M1" s="190" t="s">
        <v>856</v>
      </c>
      <c r="N1" s="190" t="s">
        <v>857</v>
      </c>
      <c r="O1" s="190" t="s">
        <v>858</v>
      </c>
    </row>
    <row r="2" spans="1:15">
      <c r="A2" s="179" t="s">
        <v>423</v>
      </c>
      <c r="B2" s="179" t="s">
        <v>516</v>
      </c>
      <c r="C2" s="186">
        <v>38355</v>
      </c>
      <c r="D2" s="188">
        <f t="shared" ref="D2:D65" si="0">YEAR(C2)</f>
        <v>2005</v>
      </c>
      <c r="E2" s="183" t="s">
        <v>523</v>
      </c>
      <c r="F2" s="178">
        <v>500</v>
      </c>
      <c r="G2" s="178">
        <v>10475</v>
      </c>
      <c r="H2" s="178">
        <v>4920</v>
      </c>
      <c r="I2" s="178">
        <v>5555</v>
      </c>
      <c r="L2" s="178" t="s">
        <v>516</v>
      </c>
      <c r="M2" s="61">
        <f>COUNTIF($B$2:$B$564,$L2)</f>
        <v>178</v>
      </c>
      <c r="N2" s="61">
        <f>SUMIF($B$2:$B$564,$L2,$G$2:$G$564)</f>
        <v>2163714</v>
      </c>
      <c r="O2" s="276">
        <f>$N2/$N$5</f>
        <v>0.32256628539976973</v>
      </c>
    </row>
    <row r="3" spans="1:15">
      <c r="A3" s="179" t="s">
        <v>429</v>
      </c>
      <c r="B3" s="179" t="s">
        <v>518</v>
      </c>
      <c r="C3" s="186">
        <v>38355</v>
      </c>
      <c r="D3" s="188">
        <f t="shared" si="0"/>
        <v>2005</v>
      </c>
      <c r="E3" s="183" t="s">
        <v>524</v>
      </c>
      <c r="F3" s="178">
        <v>900</v>
      </c>
      <c r="G3" s="178">
        <v>19161</v>
      </c>
      <c r="H3" s="178">
        <v>9198</v>
      </c>
      <c r="I3" s="178">
        <v>9963</v>
      </c>
      <c r="L3" s="178" t="s">
        <v>518</v>
      </c>
      <c r="M3" s="61">
        <f t="shared" ref="M3:M4" si="1">COUNTIF($B$2:$B$564,$L3)</f>
        <v>182</v>
      </c>
      <c r="N3" s="61">
        <f t="shared" ref="N3:N4" si="2">SUMIF($B$2:$B$564,$L3,$G$2:$G$564)</f>
        <v>2442728</v>
      </c>
      <c r="O3" s="276">
        <f t="shared" ref="O3:O4" si="3">$N3/$N$5</f>
        <v>0.36416166702346459</v>
      </c>
    </row>
    <row r="4" spans="1:15">
      <c r="A4" s="179" t="s">
        <v>429</v>
      </c>
      <c r="B4" s="179" t="s">
        <v>516</v>
      </c>
      <c r="C4" s="186">
        <v>38360</v>
      </c>
      <c r="D4" s="188">
        <f t="shared" si="0"/>
        <v>2005</v>
      </c>
      <c r="E4" s="183" t="s">
        <v>525</v>
      </c>
      <c r="F4" s="178">
        <v>500</v>
      </c>
      <c r="G4" s="178">
        <v>11845</v>
      </c>
      <c r="H4" s="178">
        <v>4920</v>
      </c>
      <c r="I4" s="178">
        <v>6925</v>
      </c>
      <c r="L4" s="277" t="s">
        <v>517</v>
      </c>
      <c r="M4" s="61">
        <f t="shared" si="1"/>
        <v>203</v>
      </c>
      <c r="N4" s="61">
        <f t="shared" si="2"/>
        <v>2101370</v>
      </c>
      <c r="O4" s="276">
        <f t="shared" si="3"/>
        <v>0.31327204757676574</v>
      </c>
    </row>
    <row r="5" spans="1:15">
      <c r="A5" s="179" t="s">
        <v>429</v>
      </c>
      <c r="B5" s="179" t="s">
        <v>518</v>
      </c>
      <c r="C5" s="186">
        <v>38365</v>
      </c>
      <c r="D5" s="188">
        <f t="shared" si="0"/>
        <v>2005</v>
      </c>
      <c r="E5" s="183" t="s">
        <v>526</v>
      </c>
      <c r="F5" s="178">
        <v>800</v>
      </c>
      <c r="G5" s="178">
        <v>16936</v>
      </c>
      <c r="H5" s="178">
        <v>8176</v>
      </c>
      <c r="I5" s="178">
        <v>8760</v>
      </c>
      <c r="L5" s="278" t="s">
        <v>383</v>
      </c>
      <c r="M5" s="279">
        <f>SUM(M2:M4)</f>
        <v>563</v>
      </c>
      <c r="N5" s="279">
        <f>SUM(N2:N4)</f>
        <v>6707812</v>
      </c>
      <c r="O5" s="280">
        <f>SUM(O2:O4)</f>
        <v>1</v>
      </c>
    </row>
    <row r="6" spans="1:15">
      <c r="A6" s="179" t="s">
        <v>423</v>
      </c>
      <c r="B6" s="179" t="s">
        <v>517</v>
      </c>
      <c r="C6" s="186">
        <v>38367</v>
      </c>
      <c r="D6" s="188">
        <f t="shared" si="0"/>
        <v>2005</v>
      </c>
      <c r="E6" s="183" t="s">
        <v>527</v>
      </c>
      <c r="F6" s="178">
        <v>800</v>
      </c>
      <c r="G6" s="178">
        <v>15104</v>
      </c>
      <c r="H6" s="178">
        <v>6776</v>
      </c>
      <c r="I6" s="178">
        <v>8328</v>
      </c>
    </row>
    <row r="7" spans="1:15">
      <c r="A7" s="179" t="s">
        <v>528</v>
      </c>
      <c r="B7" s="179" t="s">
        <v>518</v>
      </c>
      <c r="C7" s="186">
        <v>38368</v>
      </c>
      <c r="D7" s="188">
        <f t="shared" si="0"/>
        <v>2005</v>
      </c>
      <c r="E7" s="183" t="s">
        <v>529</v>
      </c>
      <c r="F7" s="178">
        <v>900</v>
      </c>
      <c r="G7" s="178">
        <v>19593</v>
      </c>
      <c r="H7" s="178">
        <v>9198</v>
      </c>
      <c r="I7" s="178">
        <v>10395</v>
      </c>
    </row>
    <row r="8" spans="1:15">
      <c r="A8" s="179" t="s">
        <v>528</v>
      </c>
      <c r="B8" s="179" t="s">
        <v>518</v>
      </c>
      <c r="C8" s="186">
        <v>38369</v>
      </c>
      <c r="D8" s="188">
        <f t="shared" si="0"/>
        <v>2005</v>
      </c>
      <c r="E8" s="183" t="s">
        <v>530</v>
      </c>
      <c r="F8" s="178">
        <v>1000</v>
      </c>
      <c r="G8" s="178">
        <v>24430</v>
      </c>
      <c r="H8" s="178">
        <v>10220</v>
      </c>
      <c r="I8" s="178">
        <v>14210</v>
      </c>
    </row>
    <row r="9" spans="1:15">
      <c r="A9" s="179" t="s">
        <v>423</v>
      </c>
      <c r="B9" s="179" t="s">
        <v>517</v>
      </c>
      <c r="C9" s="186">
        <v>38369</v>
      </c>
      <c r="D9" s="188">
        <f t="shared" si="0"/>
        <v>2005</v>
      </c>
      <c r="E9" s="183" t="s">
        <v>529</v>
      </c>
      <c r="F9" s="178">
        <v>800</v>
      </c>
      <c r="G9" s="178">
        <v>16856</v>
      </c>
      <c r="H9" s="178">
        <v>6776</v>
      </c>
      <c r="I9" s="178">
        <v>10080</v>
      </c>
    </row>
    <row r="10" spans="1:15">
      <c r="A10" s="179" t="s">
        <v>528</v>
      </c>
      <c r="B10" s="179" t="s">
        <v>516</v>
      </c>
      <c r="C10" s="186">
        <v>38371</v>
      </c>
      <c r="D10" s="188">
        <f t="shared" si="0"/>
        <v>2005</v>
      </c>
      <c r="E10" s="183" t="s">
        <v>531</v>
      </c>
      <c r="F10" s="178">
        <v>300</v>
      </c>
      <c r="G10" s="178">
        <v>7233</v>
      </c>
      <c r="H10" s="178">
        <v>2952</v>
      </c>
      <c r="I10" s="178">
        <v>4281</v>
      </c>
    </row>
    <row r="11" spans="1:15">
      <c r="A11" s="179" t="s">
        <v>429</v>
      </c>
      <c r="B11" s="179" t="s">
        <v>516</v>
      </c>
      <c r="C11" s="186">
        <v>38373</v>
      </c>
      <c r="D11" s="188">
        <f t="shared" si="0"/>
        <v>2005</v>
      </c>
      <c r="E11" s="183" t="s">
        <v>530</v>
      </c>
      <c r="F11" s="178">
        <v>1000</v>
      </c>
      <c r="G11" s="178">
        <v>20540</v>
      </c>
      <c r="H11" s="178">
        <v>9840</v>
      </c>
      <c r="I11" s="178">
        <v>10700</v>
      </c>
    </row>
    <row r="12" spans="1:15">
      <c r="A12" s="179" t="s">
        <v>528</v>
      </c>
      <c r="B12" s="179" t="s">
        <v>517</v>
      </c>
      <c r="C12" s="186">
        <v>38374</v>
      </c>
      <c r="D12" s="188">
        <f t="shared" si="0"/>
        <v>2005</v>
      </c>
      <c r="E12" s="183" t="s">
        <v>524</v>
      </c>
      <c r="F12" s="178">
        <v>900</v>
      </c>
      <c r="G12" s="178">
        <v>17136</v>
      </c>
      <c r="H12" s="178">
        <v>7623</v>
      </c>
      <c r="I12" s="178">
        <v>9513</v>
      </c>
    </row>
    <row r="13" spans="1:15">
      <c r="A13" s="179" t="s">
        <v>429</v>
      </c>
      <c r="B13" s="179" t="s">
        <v>518</v>
      </c>
      <c r="C13" s="186">
        <v>38374</v>
      </c>
      <c r="D13" s="188">
        <f t="shared" si="0"/>
        <v>2005</v>
      </c>
      <c r="E13" s="183" t="s">
        <v>524</v>
      </c>
      <c r="F13" s="178">
        <v>1000</v>
      </c>
      <c r="G13" s="178">
        <v>20490</v>
      </c>
      <c r="H13" s="178">
        <v>10220</v>
      </c>
      <c r="I13" s="178">
        <v>10270</v>
      </c>
    </row>
    <row r="14" spans="1:15">
      <c r="A14" s="179" t="s">
        <v>423</v>
      </c>
      <c r="B14" s="179" t="s">
        <v>518</v>
      </c>
      <c r="C14" s="186">
        <v>38375</v>
      </c>
      <c r="D14" s="188">
        <f t="shared" si="0"/>
        <v>2005</v>
      </c>
      <c r="E14" s="183" t="s">
        <v>532</v>
      </c>
      <c r="F14" s="178">
        <v>500</v>
      </c>
      <c r="G14" s="178">
        <v>10445</v>
      </c>
      <c r="H14" s="178">
        <v>5110</v>
      </c>
      <c r="I14" s="178">
        <v>5335</v>
      </c>
    </row>
    <row r="15" spans="1:15">
      <c r="A15" s="179" t="s">
        <v>528</v>
      </c>
      <c r="B15" s="179" t="s">
        <v>518</v>
      </c>
      <c r="C15" s="186">
        <v>38377</v>
      </c>
      <c r="D15" s="188">
        <f t="shared" si="0"/>
        <v>2005</v>
      </c>
      <c r="E15" s="183" t="s">
        <v>533</v>
      </c>
      <c r="F15" s="178">
        <v>1000</v>
      </c>
      <c r="G15" s="178">
        <v>20670</v>
      </c>
      <c r="H15" s="178">
        <v>10220</v>
      </c>
      <c r="I15" s="178">
        <v>10450</v>
      </c>
    </row>
    <row r="16" spans="1:15">
      <c r="A16" s="179" t="s">
        <v>429</v>
      </c>
      <c r="B16" s="179" t="s">
        <v>518</v>
      </c>
      <c r="C16" s="186">
        <v>38380</v>
      </c>
      <c r="D16" s="188">
        <f t="shared" si="0"/>
        <v>2005</v>
      </c>
      <c r="E16" s="183" t="s">
        <v>530</v>
      </c>
      <c r="F16" s="178">
        <v>900</v>
      </c>
      <c r="G16" s="178">
        <v>19368</v>
      </c>
      <c r="H16" s="178">
        <v>9198</v>
      </c>
      <c r="I16" s="178">
        <v>10170</v>
      </c>
    </row>
    <row r="17" spans="1:9">
      <c r="A17" s="179" t="s">
        <v>423</v>
      </c>
      <c r="B17" s="179" t="s">
        <v>518</v>
      </c>
      <c r="C17" s="186">
        <v>38383</v>
      </c>
      <c r="D17" s="188">
        <f t="shared" si="0"/>
        <v>2005</v>
      </c>
      <c r="E17" s="183" t="s">
        <v>534</v>
      </c>
      <c r="F17" s="178">
        <v>500</v>
      </c>
      <c r="G17" s="178">
        <v>11965</v>
      </c>
      <c r="H17" s="178">
        <v>5110</v>
      </c>
      <c r="I17" s="178">
        <v>6855</v>
      </c>
    </row>
    <row r="18" spans="1:9">
      <c r="A18" s="179" t="s">
        <v>528</v>
      </c>
      <c r="B18" s="179" t="s">
        <v>517</v>
      </c>
      <c r="C18" s="186">
        <v>38385</v>
      </c>
      <c r="D18" s="188">
        <f t="shared" si="0"/>
        <v>2005</v>
      </c>
      <c r="E18" s="183" t="s">
        <v>523</v>
      </c>
      <c r="F18" s="178">
        <v>500</v>
      </c>
      <c r="G18" s="178">
        <v>10445</v>
      </c>
      <c r="H18" s="178">
        <v>4235</v>
      </c>
      <c r="I18" s="178">
        <v>6210</v>
      </c>
    </row>
    <row r="19" spans="1:9">
      <c r="A19" s="179" t="s">
        <v>429</v>
      </c>
      <c r="B19" s="179" t="s">
        <v>516</v>
      </c>
      <c r="C19" s="186">
        <v>38388</v>
      </c>
      <c r="D19" s="188">
        <f t="shared" si="0"/>
        <v>2005</v>
      </c>
      <c r="E19" s="183" t="s">
        <v>535</v>
      </c>
      <c r="F19" s="178">
        <v>200</v>
      </c>
      <c r="G19" s="178">
        <v>4380</v>
      </c>
      <c r="H19" s="178">
        <v>1968</v>
      </c>
      <c r="I19" s="178">
        <v>2412</v>
      </c>
    </row>
    <row r="20" spans="1:9">
      <c r="A20" s="179" t="s">
        <v>429</v>
      </c>
      <c r="B20" s="179" t="s">
        <v>516</v>
      </c>
      <c r="C20" s="186">
        <v>38390</v>
      </c>
      <c r="D20" s="188">
        <f t="shared" si="0"/>
        <v>2005</v>
      </c>
      <c r="E20" s="183" t="s">
        <v>523</v>
      </c>
      <c r="F20" s="178">
        <v>900</v>
      </c>
      <c r="G20" s="178">
        <v>21555</v>
      </c>
      <c r="H20" s="178">
        <v>8856</v>
      </c>
      <c r="I20" s="178">
        <v>12699</v>
      </c>
    </row>
    <row r="21" spans="1:9">
      <c r="A21" s="179" t="s">
        <v>429</v>
      </c>
      <c r="B21" s="179" t="s">
        <v>516</v>
      </c>
      <c r="C21" s="186">
        <v>38394</v>
      </c>
      <c r="D21" s="188">
        <f t="shared" si="0"/>
        <v>2005</v>
      </c>
      <c r="E21" s="183" t="s">
        <v>532</v>
      </c>
      <c r="F21" s="178">
        <v>500</v>
      </c>
      <c r="G21" s="178">
        <v>11435</v>
      </c>
      <c r="H21" s="178">
        <v>4920</v>
      </c>
      <c r="I21" s="178">
        <v>6515</v>
      </c>
    </row>
    <row r="22" spans="1:9">
      <c r="A22" s="179" t="s">
        <v>528</v>
      </c>
      <c r="B22" s="179" t="s">
        <v>517</v>
      </c>
      <c r="C22" s="186">
        <v>38397</v>
      </c>
      <c r="D22" s="188">
        <f t="shared" si="0"/>
        <v>2005</v>
      </c>
      <c r="E22" s="183" t="s">
        <v>531</v>
      </c>
      <c r="F22" s="178">
        <v>700</v>
      </c>
      <c r="G22" s="178">
        <v>13734</v>
      </c>
      <c r="H22" s="178">
        <v>5929</v>
      </c>
      <c r="I22" s="178">
        <v>7805</v>
      </c>
    </row>
    <row r="23" spans="1:9">
      <c r="A23" s="179" t="s">
        <v>429</v>
      </c>
      <c r="B23" s="179" t="s">
        <v>517</v>
      </c>
      <c r="C23" s="186">
        <v>38398</v>
      </c>
      <c r="D23" s="188">
        <f t="shared" si="0"/>
        <v>2005</v>
      </c>
      <c r="E23" s="183" t="s">
        <v>534</v>
      </c>
      <c r="F23" s="178">
        <v>500</v>
      </c>
      <c r="G23" s="178">
        <v>8725</v>
      </c>
      <c r="H23" s="178">
        <v>4235</v>
      </c>
      <c r="I23" s="178">
        <v>4490</v>
      </c>
    </row>
    <row r="24" spans="1:9">
      <c r="A24" s="179" t="s">
        <v>429</v>
      </c>
      <c r="B24" s="179" t="s">
        <v>518</v>
      </c>
      <c r="C24" s="186">
        <v>38400</v>
      </c>
      <c r="D24" s="188">
        <f t="shared" si="0"/>
        <v>2005</v>
      </c>
      <c r="E24" s="183" t="s">
        <v>529</v>
      </c>
      <c r="F24" s="178">
        <v>1000</v>
      </c>
      <c r="G24" s="178">
        <v>25060</v>
      </c>
      <c r="H24" s="178">
        <v>10220</v>
      </c>
      <c r="I24" s="178">
        <v>14840</v>
      </c>
    </row>
    <row r="25" spans="1:9">
      <c r="A25" s="179" t="s">
        <v>423</v>
      </c>
      <c r="B25" s="179" t="s">
        <v>516</v>
      </c>
      <c r="C25" s="186">
        <v>38400</v>
      </c>
      <c r="D25" s="188">
        <f t="shared" si="0"/>
        <v>2005</v>
      </c>
      <c r="E25" s="183" t="s">
        <v>536</v>
      </c>
      <c r="F25" s="178">
        <v>800</v>
      </c>
      <c r="G25" s="178">
        <v>19344</v>
      </c>
      <c r="H25" s="178">
        <v>7872</v>
      </c>
      <c r="I25" s="178">
        <v>11472</v>
      </c>
    </row>
    <row r="26" spans="1:9">
      <c r="A26" s="179" t="s">
        <v>423</v>
      </c>
      <c r="B26" s="179" t="s">
        <v>517</v>
      </c>
      <c r="C26" s="186">
        <v>38402</v>
      </c>
      <c r="D26" s="188">
        <f t="shared" si="0"/>
        <v>2005</v>
      </c>
      <c r="E26" s="183" t="s">
        <v>532</v>
      </c>
      <c r="F26" s="178">
        <v>800</v>
      </c>
      <c r="G26" s="178">
        <v>13552</v>
      </c>
      <c r="H26" s="178">
        <v>6776</v>
      </c>
      <c r="I26" s="178">
        <v>6776</v>
      </c>
    </row>
    <row r="27" spans="1:9">
      <c r="A27" s="179" t="s">
        <v>528</v>
      </c>
      <c r="B27" s="179" t="s">
        <v>518</v>
      </c>
      <c r="C27" s="186">
        <v>38403</v>
      </c>
      <c r="D27" s="188">
        <f t="shared" si="0"/>
        <v>2005</v>
      </c>
      <c r="E27" s="183" t="s">
        <v>530</v>
      </c>
      <c r="F27" s="178">
        <v>100</v>
      </c>
      <c r="G27" s="178">
        <v>2058</v>
      </c>
      <c r="H27" s="178">
        <v>1022</v>
      </c>
      <c r="I27" s="178">
        <v>1036</v>
      </c>
    </row>
    <row r="28" spans="1:9">
      <c r="A28" s="179" t="s">
        <v>429</v>
      </c>
      <c r="B28" s="179" t="s">
        <v>517</v>
      </c>
      <c r="C28" s="186">
        <v>38406</v>
      </c>
      <c r="D28" s="188">
        <f t="shared" si="0"/>
        <v>2005</v>
      </c>
      <c r="E28" s="183" t="s">
        <v>529</v>
      </c>
      <c r="F28" s="178">
        <v>300</v>
      </c>
      <c r="G28" s="178">
        <v>6138</v>
      </c>
      <c r="H28" s="178">
        <v>2541</v>
      </c>
      <c r="I28" s="178">
        <v>3597</v>
      </c>
    </row>
    <row r="29" spans="1:9">
      <c r="A29" s="179" t="s">
        <v>429</v>
      </c>
      <c r="B29" s="179" t="s">
        <v>518</v>
      </c>
      <c r="C29" s="186">
        <v>38406</v>
      </c>
      <c r="D29" s="188">
        <f t="shared" si="0"/>
        <v>2005</v>
      </c>
      <c r="E29" s="183" t="s">
        <v>523</v>
      </c>
      <c r="F29" s="178">
        <v>1000</v>
      </c>
      <c r="G29" s="178">
        <v>20940</v>
      </c>
      <c r="H29" s="178">
        <v>10220</v>
      </c>
      <c r="I29" s="178">
        <v>10720</v>
      </c>
    </row>
    <row r="30" spans="1:9">
      <c r="A30" s="179" t="s">
        <v>429</v>
      </c>
      <c r="B30" s="179" t="s">
        <v>518</v>
      </c>
      <c r="C30" s="186">
        <v>38414</v>
      </c>
      <c r="D30" s="188">
        <f t="shared" si="0"/>
        <v>2005</v>
      </c>
      <c r="E30" s="183" t="s">
        <v>529</v>
      </c>
      <c r="F30" s="178">
        <v>1000</v>
      </c>
      <c r="G30" s="178">
        <v>22810</v>
      </c>
      <c r="H30" s="178">
        <v>10220</v>
      </c>
      <c r="I30" s="178">
        <v>12590</v>
      </c>
    </row>
    <row r="31" spans="1:9">
      <c r="A31" s="179" t="s">
        <v>528</v>
      </c>
      <c r="B31" s="179" t="s">
        <v>517</v>
      </c>
      <c r="C31" s="186">
        <v>38416</v>
      </c>
      <c r="D31" s="188">
        <f t="shared" si="0"/>
        <v>2005</v>
      </c>
      <c r="E31" s="183" t="s">
        <v>530</v>
      </c>
      <c r="F31" s="178">
        <v>400</v>
      </c>
      <c r="G31" s="178">
        <v>7520</v>
      </c>
      <c r="H31" s="178">
        <v>3388</v>
      </c>
      <c r="I31" s="178">
        <v>4132</v>
      </c>
    </row>
    <row r="32" spans="1:9">
      <c r="A32" s="179" t="s">
        <v>423</v>
      </c>
      <c r="B32" s="179" t="s">
        <v>518</v>
      </c>
      <c r="C32" s="186">
        <v>38419</v>
      </c>
      <c r="D32" s="188">
        <f t="shared" si="0"/>
        <v>2005</v>
      </c>
      <c r="E32" s="183" t="s">
        <v>537</v>
      </c>
      <c r="F32" s="178">
        <v>300</v>
      </c>
      <c r="G32" s="178">
        <v>6867</v>
      </c>
      <c r="H32" s="178">
        <v>3066</v>
      </c>
      <c r="I32" s="178">
        <v>3801</v>
      </c>
    </row>
    <row r="33" spans="1:9">
      <c r="A33" s="179" t="s">
        <v>429</v>
      </c>
      <c r="B33" s="179" t="s">
        <v>516</v>
      </c>
      <c r="C33" s="186">
        <v>38419</v>
      </c>
      <c r="D33" s="188">
        <f t="shared" si="0"/>
        <v>2005</v>
      </c>
      <c r="E33" s="183" t="s">
        <v>538</v>
      </c>
      <c r="F33" s="178">
        <v>900</v>
      </c>
      <c r="G33" s="178">
        <v>17757</v>
      </c>
      <c r="H33" s="178">
        <v>8856</v>
      </c>
      <c r="I33" s="178">
        <v>8901</v>
      </c>
    </row>
    <row r="34" spans="1:9">
      <c r="A34" s="179" t="s">
        <v>528</v>
      </c>
      <c r="B34" s="179" t="s">
        <v>518</v>
      </c>
      <c r="C34" s="186">
        <v>38421</v>
      </c>
      <c r="D34" s="188">
        <f t="shared" si="0"/>
        <v>2005</v>
      </c>
      <c r="E34" s="183" t="s">
        <v>532</v>
      </c>
      <c r="F34" s="178">
        <v>900</v>
      </c>
      <c r="G34" s="178">
        <v>21438</v>
      </c>
      <c r="H34" s="178">
        <v>9198</v>
      </c>
      <c r="I34" s="178">
        <v>12240</v>
      </c>
    </row>
    <row r="35" spans="1:9">
      <c r="A35" s="179" t="s">
        <v>423</v>
      </c>
      <c r="B35" s="179" t="s">
        <v>518</v>
      </c>
      <c r="C35" s="186">
        <v>38422</v>
      </c>
      <c r="D35" s="188">
        <f t="shared" si="0"/>
        <v>2005</v>
      </c>
      <c r="E35" s="183" t="s">
        <v>531</v>
      </c>
      <c r="F35" s="178">
        <v>200</v>
      </c>
      <c r="G35" s="178">
        <v>5002</v>
      </c>
      <c r="H35" s="178">
        <v>2044</v>
      </c>
      <c r="I35" s="178">
        <v>2958</v>
      </c>
    </row>
    <row r="36" spans="1:9">
      <c r="A36" s="179" t="s">
        <v>423</v>
      </c>
      <c r="B36" s="179" t="s">
        <v>518</v>
      </c>
      <c r="C36" s="186">
        <v>38424</v>
      </c>
      <c r="D36" s="188">
        <f t="shared" si="0"/>
        <v>2005</v>
      </c>
      <c r="E36" s="183" t="s">
        <v>524</v>
      </c>
      <c r="F36" s="178">
        <v>800</v>
      </c>
      <c r="G36" s="178">
        <v>19376</v>
      </c>
      <c r="H36" s="178">
        <v>8176</v>
      </c>
      <c r="I36" s="178">
        <v>11200</v>
      </c>
    </row>
    <row r="37" spans="1:9">
      <c r="A37" s="179" t="s">
        <v>423</v>
      </c>
      <c r="B37" s="179" t="s">
        <v>517</v>
      </c>
      <c r="C37" s="186">
        <v>38425</v>
      </c>
      <c r="D37" s="188">
        <f t="shared" si="0"/>
        <v>2005</v>
      </c>
      <c r="E37" s="183" t="s">
        <v>523</v>
      </c>
      <c r="F37" s="178">
        <v>300</v>
      </c>
      <c r="G37" s="178">
        <v>6069</v>
      </c>
      <c r="H37" s="178">
        <v>2541</v>
      </c>
      <c r="I37" s="178">
        <v>3528</v>
      </c>
    </row>
    <row r="38" spans="1:9">
      <c r="A38" s="179" t="s">
        <v>423</v>
      </c>
      <c r="B38" s="179" t="s">
        <v>518</v>
      </c>
      <c r="C38" s="186">
        <v>38429</v>
      </c>
      <c r="D38" s="188">
        <f t="shared" si="0"/>
        <v>2005</v>
      </c>
      <c r="E38" s="183" t="s">
        <v>532</v>
      </c>
      <c r="F38" s="178">
        <v>500</v>
      </c>
      <c r="G38" s="178">
        <v>12760</v>
      </c>
      <c r="H38" s="178">
        <v>5110</v>
      </c>
      <c r="I38" s="178">
        <v>7650</v>
      </c>
    </row>
    <row r="39" spans="1:9">
      <c r="A39" s="179" t="s">
        <v>528</v>
      </c>
      <c r="B39" s="179" t="s">
        <v>516</v>
      </c>
      <c r="C39" s="186">
        <v>38430</v>
      </c>
      <c r="D39" s="188">
        <f t="shared" si="0"/>
        <v>2005</v>
      </c>
      <c r="E39" s="183" t="s">
        <v>530</v>
      </c>
      <c r="F39" s="178">
        <v>800</v>
      </c>
      <c r="G39" s="178">
        <v>19424</v>
      </c>
      <c r="H39" s="178">
        <v>7872</v>
      </c>
      <c r="I39" s="178">
        <v>11552</v>
      </c>
    </row>
    <row r="40" spans="1:9">
      <c r="A40" s="179" t="s">
        <v>429</v>
      </c>
      <c r="B40" s="179" t="s">
        <v>517</v>
      </c>
      <c r="C40" s="186">
        <v>38430</v>
      </c>
      <c r="D40" s="188">
        <f t="shared" si="0"/>
        <v>2005</v>
      </c>
      <c r="E40" s="183" t="s">
        <v>539</v>
      </c>
      <c r="F40" s="178">
        <v>1000</v>
      </c>
      <c r="G40" s="178">
        <v>17840</v>
      </c>
      <c r="H40" s="178">
        <v>8470</v>
      </c>
      <c r="I40" s="178">
        <v>9370</v>
      </c>
    </row>
    <row r="41" spans="1:9">
      <c r="A41" s="179" t="s">
        <v>528</v>
      </c>
      <c r="B41" s="179" t="s">
        <v>518</v>
      </c>
      <c r="C41" s="186">
        <v>38430</v>
      </c>
      <c r="D41" s="188">
        <f t="shared" si="0"/>
        <v>2005</v>
      </c>
      <c r="E41" s="183" t="s">
        <v>532</v>
      </c>
      <c r="F41" s="178">
        <v>200</v>
      </c>
      <c r="G41" s="178">
        <v>4690</v>
      </c>
      <c r="H41" s="178">
        <v>2044</v>
      </c>
      <c r="I41" s="178">
        <v>2646</v>
      </c>
    </row>
    <row r="42" spans="1:9">
      <c r="A42" s="179" t="s">
        <v>528</v>
      </c>
      <c r="B42" s="179" t="s">
        <v>517</v>
      </c>
      <c r="C42" s="186">
        <v>38431</v>
      </c>
      <c r="D42" s="188">
        <f t="shared" si="0"/>
        <v>2005</v>
      </c>
      <c r="E42" s="183" t="s">
        <v>523</v>
      </c>
      <c r="F42" s="178">
        <v>100</v>
      </c>
      <c r="G42" s="178">
        <v>1861</v>
      </c>
      <c r="H42" s="178">
        <v>847</v>
      </c>
      <c r="I42" s="178">
        <v>1014</v>
      </c>
    </row>
    <row r="43" spans="1:9">
      <c r="A43" s="179" t="s">
        <v>423</v>
      </c>
      <c r="B43" s="179" t="s">
        <v>516</v>
      </c>
      <c r="C43" s="186">
        <v>38432</v>
      </c>
      <c r="D43" s="188">
        <f t="shared" si="0"/>
        <v>2005</v>
      </c>
      <c r="E43" s="183" t="s">
        <v>534</v>
      </c>
      <c r="F43" s="178">
        <v>200</v>
      </c>
      <c r="G43" s="178">
        <v>3942</v>
      </c>
      <c r="H43" s="178">
        <v>1968</v>
      </c>
      <c r="I43" s="178">
        <v>1974</v>
      </c>
    </row>
    <row r="44" spans="1:9">
      <c r="A44" s="179" t="s">
        <v>528</v>
      </c>
      <c r="B44" s="179" t="s">
        <v>517</v>
      </c>
      <c r="C44" s="186">
        <v>38433</v>
      </c>
      <c r="D44" s="188">
        <f t="shared" si="0"/>
        <v>2005</v>
      </c>
      <c r="E44" s="183" t="s">
        <v>523</v>
      </c>
      <c r="F44" s="178">
        <v>500</v>
      </c>
      <c r="G44" s="178">
        <v>9475</v>
      </c>
      <c r="H44" s="178">
        <v>4235</v>
      </c>
      <c r="I44" s="178">
        <v>5240</v>
      </c>
    </row>
    <row r="45" spans="1:9">
      <c r="A45" s="179" t="s">
        <v>429</v>
      </c>
      <c r="B45" s="179" t="s">
        <v>517</v>
      </c>
      <c r="C45" s="186">
        <v>38436</v>
      </c>
      <c r="D45" s="188">
        <f t="shared" si="0"/>
        <v>2005</v>
      </c>
      <c r="E45" s="183" t="s">
        <v>537</v>
      </c>
      <c r="F45" s="178">
        <v>700</v>
      </c>
      <c r="G45" s="178">
        <v>14686</v>
      </c>
      <c r="H45" s="178">
        <v>5929</v>
      </c>
      <c r="I45" s="178">
        <v>8757</v>
      </c>
    </row>
    <row r="46" spans="1:9">
      <c r="A46" s="179" t="s">
        <v>429</v>
      </c>
      <c r="B46" s="179" t="s">
        <v>518</v>
      </c>
      <c r="C46" s="186">
        <v>38436</v>
      </c>
      <c r="D46" s="188">
        <f t="shared" si="0"/>
        <v>2005</v>
      </c>
      <c r="E46" s="183" t="s">
        <v>531</v>
      </c>
      <c r="F46" s="178">
        <v>400</v>
      </c>
      <c r="G46" s="178">
        <v>9704</v>
      </c>
      <c r="H46" s="178">
        <v>4088</v>
      </c>
      <c r="I46" s="178">
        <v>5616</v>
      </c>
    </row>
    <row r="47" spans="1:9">
      <c r="A47" s="179" t="s">
        <v>528</v>
      </c>
      <c r="B47" s="179" t="s">
        <v>516</v>
      </c>
      <c r="C47" s="186">
        <v>38436</v>
      </c>
      <c r="D47" s="188">
        <f t="shared" si="0"/>
        <v>2005</v>
      </c>
      <c r="E47" s="183" t="s">
        <v>534</v>
      </c>
      <c r="F47" s="178">
        <v>1000</v>
      </c>
      <c r="G47" s="178">
        <v>20480</v>
      </c>
      <c r="H47" s="178">
        <v>9840</v>
      </c>
      <c r="I47" s="178">
        <v>10640</v>
      </c>
    </row>
    <row r="48" spans="1:9">
      <c r="A48" s="179" t="s">
        <v>528</v>
      </c>
      <c r="B48" s="179" t="s">
        <v>518</v>
      </c>
      <c r="C48" s="186">
        <v>38439</v>
      </c>
      <c r="D48" s="188">
        <f t="shared" si="0"/>
        <v>2005</v>
      </c>
      <c r="E48" s="183" t="s">
        <v>534</v>
      </c>
      <c r="F48" s="178">
        <v>700</v>
      </c>
      <c r="G48" s="178">
        <v>17367</v>
      </c>
      <c r="H48" s="178">
        <v>7154</v>
      </c>
      <c r="I48" s="178">
        <v>10213</v>
      </c>
    </row>
    <row r="49" spans="1:9">
      <c r="A49" s="179" t="s">
        <v>429</v>
      </c>
      <c r="B49" s="179" t="s">
        <v>518</v>
      </c>
      <c r="C49" s="186">
        <v>38441</v>
      </c>
      <c r="D49" s="188">
        <f t="shared" si="0"/>
        <v>2005</v>
      </c>
      <c r="E49" s="183" t="s">
        <v>537</v>
      </c>
      <c r="F49" s="178">
        <v>900</v>
      </c>
      <c r="G49" s="178">
        <v>18684</v>
      </c>
      <c r="H49" s="178">
        <v>9198</v>
      </c>
      <c r="I49" s="178">
        <v>9486</v>
      </c>
    </row>
    <row r="50" spans="1:9">
      <c r="A50" s="179" t="s">
        <v>429</v>
      </c>
      <c r="B50" s="179" t="s">
        <v>516</v>
      </c>
      <c r="C50" s="186">
        <v>38441</v>
      </c>
      <c r="D50" s="188">
        <f t="shared" si="0"/>
        <v>2005</v>
      </c>
      <c r="E50" s="183" t="s">
        <v>531</v>
      </c>
      <c r="F50" s="178">
        <v>800</v>
      </c>
      <c r="G50" s="178">
        <v>16232</v>
      </c>
      <c r="H50" s="178">
        <v>7872</v>
      </c>
      <c r="I50" s="178">
        <v>8360</v>
      </c>
    </row>
    <row r="51" spans="1:9">
      <c r="A51" s="179" t="s">
        <v>423</v>
      </c>
      <c r="B51" s="179" t="s">
        <v>516</v>
      </c>
      <c r="C51" s="186">
        <v>38442</v>
      </c>
      <c r="D51" s="188">
        <f t="shared" si="0"/>
        <v>2005</v>
      </c>
      <c r="E51" s="183" t="s">
        <v>524</v>
      </c>
      <c r="F51" s="178">
        <v>800</v>
      </c>
      <c r="G51" s="178">
        <v>17160</v>
      </c>
      <c r="H51" s="178">
        <v>7872</v>
      </c>
      <c r="I51" s="178">
        <v>9288</v>
      </c>
    </row>
    <row r="52" spans="1:9">
      <c r="A52" s="179" t="s">
        <v>423</v>
      </c>
      <c r="B52" s="179" t="s">
        <v>518</v>
      </c>
      <c r="C52" s="186">
        <v>38444</v>
      </c>
      <c r="D52" s="188">
        <f t="shared" si="0"/>
        <v>2005</v>
      </c>
      <c r="E52" s="183" t="s">
        <v>526</v>
      </c>
      <c r="F52" s="178">
        <v>1000</v>
      </c>
      <c r="G52" s="178">
        <v>24130</v>
      </c>
      <c r="H52" s="178">
        <v>10220</v>
      </c>
      <c r="I52" s="178">
        <v>13910</v>
      </c>
    </row>
    <row r="53" spans="1:9">
      <c r="A53" s="179" t="s">
        <v>429</v>
      </c>
      <c r="B53" s="179" t="s">
        <v>517</v>
      </c>
      <c r="C53" s="186">
        <v>38445</v>
      </c>
      <c r="D53" s="188">
        <f t="shared" si="0"/>
        <v>2005</v>
      </c>
      <c r="E53" s="183" t="s">
        <v>530</v>
      </c>
      <c r="F53" s="178">
        <v>900</v>
      </c>
      <c r="G53" s="178">
        <v>15759</v>
      </c>
      <c r="H53" s="178">
        <v>7623</v>
      </c>
      <c r="I53" s="178">
        <v>8136</v>
      </c>
    </row>
    <row r="54" spans="1:9">
      <c r="A54" s="179" t="s">
        <v>429</v>
      </c>
      <c r="B54" s="179" t="s">
        <v>517</v>
      </c>
      <c r="C54" s="186">
        <v>38446</v>
      </c>
      <c r="D54" s="188">
        <f t="shared" si="0"/>
        <v>2005</v>
      </c>
      <c r="E54" s="183" t="s">
        <v>532</v>
      </c>
      <c r="F54" s="178">
        <v>1000</v>
      </c>
      <c r="G54" s="178">
        <v>18660</v>
      </c>
      <c r="H54" s="178">
        <v>8470</v>
      </c>
      <c r="I54" s="178">
        <v>10190</v>
      </c>
    </row>
    <row r="55" spans="1:9">
      <c r="A55" s="179" t="s">
        <v>429</v>
      </c>
      <c r="B55" s="179" t="s">
        <v>518</v>
      </c>
      <c r="C55" s="186">
        <v>38448</v>
      </c>
      <c r="D55" s="188">
        <f t="shared" si="0"/>
        <v>2005</v>
      </c>
      <c r="E55" s="183" t="s">
        <v>533</v>
      </c>
      <c r="F55" s="178">
        <v>700</v>
      </c>
      <c r="G55" s="178">
        <v>15435</v>
      </c>
      <c r="H55" s="178">
        <v>7154</v>
      </c>
      <c r="I55" s="178">
        <v>8281</v>
      </c>
    </row>
    <row r="56" spans="1:9">
      <c r="A56" s="179" t="s">
        <v>528</v>
      </c>
      <c r="B56" s="179" t="s">
        <v>517</v>
      </c>
      <c r="C56" s="186">
        <v>38450</v>
      </c>
      <c r="D56" s="188">
        <f t="shared" si="0"/>
        <v>2005</v>
      </c>
      <c r="E56" s="183" t="s">
        <v>531</v>
      </c>
      <c r="F56" s="178">
        <v>900</v>
      </c>
      <c r="G56" s="178">
        <v>15651</v>
      </c>
      <c r="H56" s="178">
        <v>7623</v>
      </c>
      <c r="I56" s="178">
        <v>8028</v>
      </c>
    </row>
    <row r="57" spans="1:9">
      <c r="A57" s="179" t="s">
        <v>423</v>
      </c>
      <c r="B57" s="179" t="s">
        <v>517</v>
      </c>
      <c r="C57" s="186">
        <v>38451</v>
      </c>
      <c r="D57" s="188">
        <f t="shared" si="0"/>
        <v>2005</v>
      </c>
      <c r="E57" s="183" t="s">
        <v>529</v>
      </c>
      <c r="F57" s="178">
        <v>800</v>
      </c>
      <c r="G57" s="178">
        <v>14408</v>
      </c>
      <c r="H57" s="178">
        <v>6776</v>
      </c>
      <c r="I57" s="178">
        <v>7632</v>
      </c>
    </row>
    <row r="58" spans="1:9">
      <c r="A58" s="179" t="s">
        <v>429</v>
      </c>
      <c r="B58" s="179" t="s">
        <v>517</v>
      </c>
      <c r="C58" s="186">
        <v>38454</v>
      </c>
      <c r="D58" s="188">
        <f t="shared" si="0"/>
        <v>2005</v>
      </c>
      <c r="E58" s="183" t="s">
        <v>534</v>
      </c>
      <c r="F58" s="178">
        <v>300</v>
      </c>
      <c r="G58" s="178">
        <v>5967</v>
      </c>
      <c r="H58" s="178">
        <v>2541</v>
      </c>
      <c r="I58" s="178">
        <v>3426</v>
      </c>
    </row>
    <row r="59" spans="1:9">
      <c r="A59" s="179" t="s">
        <v>528</v>
      </c>
      <c r="B59" s="179" t="s">
        <v>516</v>
      </c>
      <c r="C59" s="186">
        <v>38457</v>
      </c>
      <c r="D59" s="188">
        <f t="shared" si="0"/>
        <v>2005</v>
      </c>
      <c r="E59" s="183" t="s">
        <v>531</v>
      </c>
      <c r="F59" s="178">
        <v>700</v>
      </c>
      <c r="G59" s="178">
        <v>16303</v>
      </c>
      <c r="H59" s="178">
        <v>6888</v>
      </c>
      <c r="I59" s="178">
        <v>9415</v>
      </c>
    </row>
    <row r="60" spans="1:9">
      <c r="A60" s="179" t="s">
        <v>429</v>
      </c>
      <c r="B60" s="179" t="s">
        <v>517</v>
      </c>
      <c r="C60" s="186">
        <v>38458</v>
      </c>
      <c r="D60" s="188">
        <f t="shared" si="0"/>
        <v>2005</v>
      </c>
      <c r="E60" s="183" t="s">
        <v>523</v>
      </c>
      <c r="F60" s="178">
        <v>500</v>
      </c>
      <c r="G60" s="178">
        <v>9380</v>
      </c>
      <c r="H60" s="178">
        <v>4235</v>
      </c>
      <c r="I60" s="178">
        <v>5145</v>
      </c>
    </row>
    <row r="61" spans="1:9">
      <c r="A61" s="179" t="s">
        <v>429</v>
      </c>
      <c r="B61" s="179" t="s">
        <v>517</v>
      </c>
      <c r="C61" s="186">
        <v>38458</v>
      </c>
      <c r="D61" s="188">
        <f t="shared" si="0"/>
        <v>2005</v>
      </c>
      <c r="E61" s="183" t="s">
        <v>532</v>
      </c>
      <c r="F61" s="178">
        <v>100</v>
      </c>
      <c r="G61" s="178">
        <v>2066</v>
      </c>
      <c r="H61" s="178">
        <v>847</v>
      </c>
      <c r="I61" s="178">
        <v>1219</v>
      </c>
    </row>
    <row r="62" spans="1:9">
      <c r="A62" s="179" t="s">
        <v>528</v>
      </c>
      <c r="B62" s="179" t="s">
        <v>517</v>
      </c>
      <c r="C62" s="186">
        <v>38459</v>
      </c>
      <c r="D62" s="188">
        <f t="shared" si="0"/>
        <v>2005</v>
      </c>
      <c r="E62" s="183" t="s">
        <v>529</v>
      </c>
      <c r="F62" s="178">
        <v>500</v>
      </c>
      <c r="G62" s="178">
        <v>10460</v>
      </c>
      <c r="H62" s="178">
        <v>4235</v>
      </c>
      <c r="I62" s="178">
        <v>6225</v>
      </c>
    </row>
    <row r="63" spans="1:9">
      <c r="A63" s="179" t="s">
        <v>423</v>
      </c>
      <c r="B63" s="179" t="s">
        <v>518</v>
      </c>
      <c r="C63" s="186">
        <v>38460</v>
      </c>
      <c r="D63" s="188">
        <f t="shared" si="0"/>
        <v>2005</v>
      </c>
      <c r="E63" s="183" t="s">
        <v>525</v>
      </c>
      <c r="F63" s="178">
        <v>800</v>
      </c>
      <c r="G63" s="178">
        <v>18304</v>
      </c>
      <c r="H63" s="178">
        <v>8176</v>
      </c>
      <c r="I63" s="178">
        <v>10128</v>
      </c>
    </row>
    <row r="64" spans="1:9">
      <c r="A64" s="179" t="s">
        <v>423</v>
      </c>
      <c r="B64" s="179" t="s">
        <v>517</v>
      </c>
      <c r="C64" s="186">
        <v>38460</v>
      </c>
      <c r="D64" s="188">
        <f t="shared" si="0"/>
        <v>2005</v>
      </c>
      <c r="E64" s="183" t="s">
        <v>524</v>
      </c>
      <c r="F64" s="178">
        <v>900</v>
      </c>
      <c r="G64" s="178">
        <v>18981</v>
      </c>
      <c r="H64" s="178">
        <v>7623</v>
      </c>
      <c r="I64" s="178">
        <v>11358</v>
      </c>
    </row>
    <row r="65" spans="1:9">
      <c r="A65" s="179" t="s">
        <v>423</v>
      </c>
      <c r="B65" s="179" t="s">
        <v>516</v>
      </c>
      <c r="C65" s="186">
        <v>38461</v>
      </c>
      <c r="D65" s="188">
        <f t="shared" si="0"/>
        <v>2005</v>
      </c>
      <c r="E65" s="183" t="s">
        <v>529</v>
      </c>
      <c r="F65" s="178">
        <v>100</v>
      </c>
      <c r="G65" s="178">
        <v>2409</v>
      </c>
      <c r="H65" s="178">
        <v>984</v>
      </c>
      <c r="I65" s="178">
        <v>1425</v>
      </c>
    </row>
    <row r="66" spans="1:9">
      <c r="A66" s="179" t="s">
        <v>423</v>
      </c>
      <c r="B66" s="179" t="s">
        <v>518</v>
      </c>
      <c r="C66" s="186">
        <v>38462</v>
      </c>
      <c r="D66" s="188">
        <f t="shared" ref="D66:D129" si="4">YEAR(C66)</f>
        <v>2005</v>
      </c>
      <c r="E66" s="183" t="s">
        <v>540</v>
      </c>
      <c r="F66" s="178">
        <v>600</v>
      </c>
      <c r="G66" s="178">
        <v>12612</v>
      </c>
      <c r="H66" s="178">
        <v>6132</v>
      </c>
      <c r="I66" s="178">
        <v>6480</v>
      </c>
    </row>
    <row r="67" spans="1:9">
      <c r="A67" s="179" t="s">
        <v>429</v>
      </c>
      <c r="B67" s="179" t="s">
        <v>517</v>
      </c>
      <c r="C67" s="186">
        <v>38463</v>
      </c>
      <c r="D67" s="188">
        <f t="shared" si="4"/>
        <v>2005</v>
      </c>
      <c r="E67" s="183" t="s">
        <v>525</v>
      </c>
      <c r="F67" s="178">
        <v>100</v>
      </c>
      <c r="G67" s="178">
        <v>1842</v>
      </c>
      <c r="H67" s="178">
        <v>847</v>
      </c>
      <c r="I67" s="178">
        <v>995</v>
      </c>
    </row>
    <row r="68" spans="1:9">
      <c r="A68" s="179" t="s">
        <v>429</v>
      </c>
      <c r="B68" s="179" t="s">
        <v>516</v>
      </c>
      <c r="C68" s="186">
        <v>38463</v>
      </c>
      <c r="D68" s="188">
        <f t="shared" si="4"/>
        <v>2005</v>
      </c>
      <c r="E68" s="183" t="s">
        <v>533</v>
      </c>
      <c r="F68" s="178">
        <v>600</v>
      </c>
      <c r="G68" s="178">
        <v>12672</v>
      </c>
      <c r="H68" s="178">
        <v>5904</v>
      </c>
      <c r="I68" s="178">
        <v>6768</v>
      </c>
    </row>
    <row r="69" spans="1:9">
      <c r="A69" s="179" t="s">
        <v>528</v>
      </c>
      <c r="B69" s="179" t="s">
        <v>517</v>
      </c>
      <c r="C69" s="186">
        <v>38463</v>
      </c>
      <c r="D69" s="188">
        <f t="shared" si="4"/>
        <v>2005</v>
      </c>
      <c r="E69" s="183" t="s">
        <v>534</v>
      </c>
      <c r="F69" s="178">
        <v>400</v>
      </c>
      <c r="G69" s="178">
        <v>6860</v>
      </c>
      <c r="H69" s="178">
        <v>3388</v>
      </c>
      <c r="I69" s="178">
        <v>3472</v>
      </c>
    </row>
    <row r="70" spans="1:9">
      <c r="A70" s="179" t="s">
        <v>423</v>
      </c>
      <c r="B70" s="179" t="s">
        <v>517</v>
      </c>
      <c r="C70" s="186">
        <v>38464</v>
      </c>
      <c r="D70" s="188">
        <f t="shared" si="4"/>
        <v>2005</v>
      </c>
      <c r="E70" s="183" t="s">
        <v>540</v>
      </c>
      <c r="F70" s="178">
        <v>500</v>
      </c>
      <c r="G70" s="178">
        <v>8940</v>
      </c>
      <c r="H70" s="178">
        <v>4235</v>
      </c>
      <c r="I70" s="178">
        <v>4705</v>
      </c>
    </row>
    <row r="71" spans="1:9">
      <c r="A71" s="179" t="s">
        <v>423</v>
      </c>
      <c r="B71" s="179" t="s">
        <v>517</v>
      </c>
      <c r="C71" s="186">
        <v>38467</v>
      </c>
      <c r="D71" s="188">
        <f t="shared" si="4"/>
        <v>2005</v>
      </c>
      <c r="E71" s="183" t="s">
        <v>531</v>
      </c>
      <c r="F71" s="178">
        <v>500</v>
      </c>
      <c r="G71" s="178">
        <v>10155</v>
      </c>
      <c r="H71" s="178">
        <v>4235</v>
      </c>
      <c r="I71" s="178">
        <v>5920</v>
      </c>
    </row>
    <row r="72" spans="1:9">
      <c r="A72" s="179" t="s">
        <v>429</v>
      </c>
      <c r="B72" s="179" t="s">
        <v>517</v>
      </c>
      <c r="C72" s="186">
        <v>38468</v>
      </c>
      <c r="D72" s="188">
        <f t="shared" si="4"/>
        <v>2005</v>
      </c>
      <c r="E72" s="183" t="s">
        <v>531</v>
      </c>
      <c r="F72" s="178">
        <v>600</v>
      </c>
      <c r="G72" s="178">
        <v>11430</v>
      </c>
      <c r="H72" s="178">
        <v>5082</v>
      </c>
      <c r="I72" s="178">
        <v>6348</v>
      </c>
    </row>
    <row r="73" spans="1:9">
      <c r="A73" s="179" t="s">
        <v>429</v>
      </c>
      <c r="B73" s="179" t="s">
        <v>516</v>
      </c>
      <c r="C73" s="186">
        <v>38468</v>
      </c>
      <c r="D73" s="188">
        <f t="shared" si="4"/>
        <v>2005</v>
      </c>
      <c r="E73" s="183" t="s">
        <v>532</v>
      </c>
      <c r="F73" s="178">
        <v>300</v>
      </c>
      <c r="G73" s="178">
        <v>6714</v>
      </c>
      <c r="H73" s="178">
        <v>2952</v>
      </c>
      <c r="I73" s="178">
        <v>3762</v>
      </c>
    </row>
    <row r="74" spans="1:9">
      <c r="A74" s="179" t="s">
        <v>528</v>
      </c>
      <c r="B74" s="179" t="s">
        <v>518</v>
      </c>
      <c r="C74" s="186">
        <v>38474</v>
      </c>
      <c r="D74" s="188">
        <f t="shared" si="4"/>
        <v>2005</v>
      </c>
      <c r="E74" s="183" t="s">
        <v>531</v>
      </c>
      <c r="F74" s="178">
        <v>700</v>
      </c>
      <c r="G74" s="178">
        <v>17199</v>
      </c>
      <c r="H74" s="178">
        <v>7154</v>
      </c>
      <c r="I74" s="178">
        <v>10045</v>
      </c>
    </row>
    <row r="75" spans="1:9">
      <c r="A75" s="179" t="s">
        <v>423</v>
      </c>
      <c r="B75" s="179" t="s">
        <v>517</v>
      </c>
      <c r="C75" s="186">
        <v>38475</v>
      </c>
      <c r="D75" s="188">
        <f t="shared" si="4"/>
        <v>2005</v>
      </c>
      <c r="E75" s="183" t="s">
        <v>531</v>
      </c>
      <c r="F75" s="178">
        <v>200</v>
      </c>
      <c r="G75" s="178">
        <v>3390</v>
      </c>
      <c r="H75" s="178">
        <v>1694</v>
      </c>
      <c r="I75" s="178">
        <v>1696</v>
      </c>
    </row>
    <row r="76" spans="1:9">
      <c r="A76" s="179" t="s">
        <v>423</v>
      </c>
      <c r="B76" s="179" t="s">
        <v>517</v>
      </c>
      <c r="C76" s="186">
        <v>38479</v>
      </c>
      <c r="D76" s="188">
        <f t="shared" si="4"/>
        <v>2005</v>
      </c>
      <c r="E76" s="183" t="s">
        <v>533</v>
      </c>
      <c r="F76" s="178">
        <v>800</v>
      </c>
      <c r="G76" s="178">
        <v>14592</v>
      </c>
      <c r="H76" s="178">
        <v>6776</v>
      </c>
      <c r="I76" s="178">
        <v>7816</v>
      </c>
    </row>
    <row r="77" spans="1:9">
      <c r="A77" s="179" t="s">
        <v>423</v>
      </c>
      <c r="B77" s="179" t="s">
        <v>517</v>
      </c>
      <c r="C77" s="186">
        <v>38479</v>
      </c>
      <c r="D77" s="188">
        <f t="shared" si="4"/>
        <v>2005</v>
      </c>
      <c r="E77" s="183" t="s">
        <v>533</v>
      </c>
      <c r="F77" s="178">
        <v>700</v>
      </c>
      <c r="G77" s="178">
        <v>12803</v>
      </c>
      <c r="H77" s="178">
        <v>5929</v>
      </c>
      <c r="I77" s="178">
        <v>6874</v>
      </c>
    </row>
    <row r="78" spans="1:9">
      <c r="A78" s="179" t="s">
        <v>423</v>
      </c>
      <c r="B78" s="179" t="s">
        <v>517</v>
      </c>
      <c r="C78" s="186">
        <v>38481</v>
      </c>
      <c r="D78" s="188">
        <f t="shared" si="4"/>
        <v>2005</v>
      </c>
      <c r="E78" s="183" t="s">
        <v>531</v>
      </c>
      <c r="F78" s="178">
        <v>900</v>
      </c>
      <c r="G78" s="178">
        <v>17964</v>
      </c>
      <c r="H78" s="178">
        <v>7623</v>
      </c>
      <c r="I78" s="178">
        <v>10341</v>
      </c>
    </row>
    <row r="79" spans="1:9">
      <c r="A79" s="179" t="s">
        <v>423</v>
      </c>
      <c r="B79" s="179" t="s">
        <v>516</v>
      </c>
      <c r="C79" s="186">
        <v>38486</v>
      </c>
      <c r="D79" s="188">
        <f t="shared" si="4"/>
        <v>2005</v>
      </c>
      <c r="E79" s="183" t="s">
        <v>532</v>
      </c>
      <c r="F79" s="178">
        <v>700</v>
      </c>
      <c r="G79" s="178">
        <v>14560</v>
      </c>
      <c r="H79" s="178">
        <v>6888</v>
      </c>
      <c r="I79" s="178">
        <v>7672</v>
      </c>
    </row>
    <row r="80" spans="1:9">
      <c r="A80" s="179" t="s">
        <v>429</v>
      </c>
      <c r="B80" s="179" t="s">
        <v>518</v>
      </c>
      <c r="C80" s="186">
        <v>38490</v>
      </c>
      <c r="D80" s="188">
        <f t="shared" si="4"/>
        <v>2005</v>
      </c>
      <c r="E80" s="183" t="s">
        <v>525</v>
      </c>
      <c r="F80" s="178">
        <v>100</v>
      </c>
      <c r="G80" s="178">
        <v>2401</v>
      </c>
      <c r="H80" s="178">
        <v>1022</v>
      </c>
      <c r="I80" s="178">
        <v>1379</v>
      </c>
    </row>
    <row r="81" spans="1:9">
      <c r="A81" s="179" t="s">
        <v>429</v>
      </c>
      <c r="B81" s="179" t="s">
        <v>516</v>
      </c>
      <c r="C81" s="186">
        <v>38490</v>
      </c>
      <c r="D81" s="188">
        <f t="shared" si="4"/>
        <v>2005</v>
      </c>
      <c r="E81" s="183" t="s">
        <v>536</v>
      </c>
      <c r="F81" s="178">
        <v>500</v>
      </c>
      <c r="G81" s="178">
        <v>10760</v>
      </c>
      <c r="H81" s="178">
        <v>4920</v>
      </c>
      <c r="I81" s="178">
        <v>5840</v>
      </c>
    </row>
    <row r="82" spans="1:9">
      <c r="A82" s="179" t="s">
        <v>528</v>
      </c>
      <c r="B82" s="179" t="s">
        <v>517</v>
      </c>
      <c r="C82" s="186">
        <v>38494</v>
      </c>
      <c r="D82" s="188">
        <f t="shared" si="4"/>
        <v>2005</v>
      </c>
      <c r="E82" s="183" t="s">
        <v>531</v>
      </c>
      <c r="F82" s="178">
        <v>300</v>
      </c>
      <c r="G82" s="178">
        <v>5826</v>
      </c>
      <c r="H82" s="178">
        <v>2541</v>
      </c>
      <c r="I82" s="178">
        <v>3285</v>
      </c>
    </row>
    <row r="83" spans="1:9">
      <c r="A83" s="179" t="s">
        <v>528</v>
      </c>
      <c r="B83" s="179" t="s">
        <v>516</v>
      </c>
      <c r="C83" s="186">
        <v>38496</v>
      </c>
      <c r="D83" s="188">
        <f t="shared" si="4"/>
        <v>2005</v>
      </c>
      <c r="E83" s="183" t="s">
        <v>523</v>
      </c>
      <c r="F83" s="178">
        <v>400</v>
      </c>
      <c r="G83" s="178">
        <v>9672</v>
      </c>
      <c r="H83" s="178">
        <v>3936</v>
      </c>
      <c r="I83" s="178">
        <v>5736</v>
      </c>
    </row>
    <row r="84" spans="1:9">
      <c r="A84" s="179" t="s">
        <v>528</v>
      </c>
      <c r="B84" s="179" t="s">
        <v>516</v>
      </c>
      <c r="C84" s="186">
        <v>38499</v>
      </c>
      <c r="D84" s="188">
        <f t="shared" si="4"/>
        <v>2005</v>
      </c>
      <c r="E84" s="183" t="s">
        <v>541</v>
      </c>
      <c r="F84" s="178">
        <v>200</v>
      </c>
      <c r="G84" s="178">
        <v>4754</v>
      </c>
      <c r="H84" s="178">
        <v>1968</v>
      </c>
      <c r="I84" s="178">
        <v>2786</v>
      </c>
    </row>
    <row r="85" spans="1:9">
      <c r="A85" s="179" t="s">
        <v>528</v>
      </c>
      <c r="B85" s="179" t="s">
        <v>517</v>
      </c>
      <c r="C85" s="186">
        <v>38500</v>
      </c>
      <c r="D85" s="188">
        <f t="shared" si="4"/>
        <v>2005</v>
      </c>
      <c r="E85" s="183" t="s">
        <v>525</v>
      </c>
      <c r="F85" s="178">
        <v>100</v>
      </c>
      <c r="G85" s="178">
        <v>1740</v>
      </c>
      <c r="H85" s="178">
        <v>847</v>
      </c>
      <c r="I85" s="178">
        <v>893</v>
      </c>
    </row>
    <row r="86" spans="1:9">
      <c r="A86" s="179" t="s">
        <v>528</v>
      </c>
      <c r="B86" s="179" t="s">
        <v>517</v>
      </c>
      <c r="C86" s="186">
        <v>38505</v>
      </c>
      <c r="D86" s="188">
        <f t="shared" si="4"/>
        <v>2005</v>
      </c>
      <c r="E86" s="183" t="s">
        <v>529</v>
      </c>
      <c r="F86" s="178">
        <v>200</v>
      </c>
      <c r="G86" s="178">
        <v>4010</v>
      </c>
      <c r="H86" s="178">
        <v>1694</v>
      </c>
      <c r="I86" s="178">
        <v>2316</v>
      </c>
    </row>
    <row r="87" spans="1:9">
      <c r="A87" s="179" t="s">
        <v>423</v>
      </c>
      <c r="B87" s="179" t="s">
        <v>518</v>
      </c>
      <c r="C87" s="186">
        <v>38506</v>
      </c>
      <c r="D87" s="188">
        <f t="shared" si="4"/>
        <v>2005</v>
      </c>
      <c r="E87" s="183" t="s">
        <v>532</v>
      </c>
      <c r="F87" s="178">
        <v>800</v>
      </c>
      <c r="G87" s="178">
        <v>18560</v>
      </c>
      <c r="H87" s="178">
        <v>8176</v>
      </c>
      <c r="I87" s="178">
        <v>10384</v>
      </c>
    </row>
    <row r="88" spans="1:9">
      <c r="A88" s="179" t="s">
        <v>429</v>
      </c>
      <c r="B88" s="179" t="s">
        <v>516</v>
      </c>
      <c r="C88" s="186">
        <v>38512</v>
      </c>
      <c r="D88" s="188">
        <f t="shared" si="4"/>
        <v>2005</v>
      </c>
      <c r="E88" s="183" t="s">
        <v>529</v>
      </c>
      <c r="F88" s="178">
        <v>900</v>
      </c>
      <c r="G88" s="178">
        <v>19674</v>
      </c>
      <c r="H88" s="178">
        <v>8856</v>
      </c>
      <c r="I88" s="178">
        <v>10818</v>
      </c>
    </row>
    <row r="89" spans="1:9">
      <c r="A89" s="179" t="s">
        <v>423</v>
      </c>
      <c r="B89" s="179" t="s">
        <v>518</v>
      </c>
      <c r="C89" s="186">
        <v>38512</v>
      </c>
      <c r="D89" s="188">
        <f t="shared" si="4"/>
        <v>2005</v>
      </c>
      <c r="E89" s="183" t="s">
        <v>542</v>
      </c>
      <c r="F89" s="178">
        <v>600</v>
      </c>
      <c r="G89" s="178">
        <v>13962</v>
      </c>
      <c r="H89" s="178">
        <v>6132</v>
      </c>
      <c r="I89" s="178">
        <v>7830</v>
      </c>
    </row>
    <row r="90" spans="1:9">
      <c r="A90" s="179" t="s">
        <v>429</v>
      </c>
      <c r="B90" s="179" t="s">
        <v>517</v>
      </c>
      <c r="C90" s="186">
        <v>38516</v>
      </c>
      <c r="D90" s="188">
        <f t="shared" si="4"/>
        <v>2005</v>
      </c>
      <c r="E90" s="183" t="s">
        <v>529</v>
      </c>
      <c r="F90" s="178">
        <v>100</v>
      </c>
      <c r="G90" s="178">
        <v>1913</v>
      </c>
      <c r="H90" s="178">
        <v>847</v>
      </c>
      <c r="I90" s="178">
        <v>1066</v>
      </c>
    </row>
    <row r="91" spans="1:9">
      <c r="A91" s="179" t="s">
        <v>423</v>
      </c>
      <c r="B91" s="179" t="s">
        <v>516</v>
      </c>
      <c r="C91" s="186">
        <v>38517</v>
      </c>
      <c r="D91" s="188">
        <f t="shared" si="4"/>
        <v>2005</v>
      </c>
      <c r="E91" s="183" t="s">
        <v>525</v>
      </c>
      <c r="F91" s="178">
        <v>300</v>
      </c>
      <c r="G91" s="178">
        <v>6522</v>
      </c>
      <c r="H91" s="178">
        <v>2952</v>
      </c>
      <c r="I91" s="178">
        <v>3570</v>
      </c>
    </row>
    <row r="92" spans="1:9">
      <c r="A92" s="179" t="s">
        <v>423</v>
      </c>
      <c r="B92" s="179" t="s">
        <v>518</v>
      </c>
      <c r="C92" s="186">
        <v>38521</v>
      </c>
      <c r="D92" s="188">
        <f t="shared" si="4"/>
        <v>2005</v>
      </c>
      <c r="E92" s="183" t="s">
        <v>543</v>
      </c>
      <c r="F92" s="178">
        <v>1000</v>
      </c>
      <c r="G92" s="178">
        <v>22840</v>
      </c>
      <c r="H92" s="178">
        <v>10220</v>
      </c>
      <c r="I92" s="178">
        <v>12620</v>
      </c>
    </row>
    <row r="93" spans="1:9">
      <c r="A93" s="179" t="s">
        <v>429</v>
      </c>
      <c r="B93" s="179" t="s">
        <v>516</v>
      </c>
      <c r="C93" s="186">
        <v>38526</v>
      </c>
      <c r="D93" s="188">
        <f t="shared" si="4"/>
        <v>2005</v>
      </c>
      <c r="E93" s="183" t="s">
        <v>531</v>
      </c>
      <c r="F93" s="178">
        <v>300</v>
      </c>
      <c r="G93" s="178">
        <v>5961</v>
      </c>
      <c r="H93" s="178">
        <v>2952</v>
      </c>
      <c r="I93" s="178">
        <v>3009</v>
      </c>
    </row>
    <row r="94" spans="1:9">
      <c r="A94" s="179" t="s">
        <v>423</v>
      </c>
      <c r="B94" s="179" t="s">
        <v>518</v>
      </c>
      <c r="C94" s="186">
        <v>38529</v>
      </c>
      <c r="D94" s="188">
        <f t="shared" si="4"/>
        <v>2005</v>
      </c>
      <c r="E94" s="183" t="s">
        <v>533</v>
      </c>
      <c r="F94" s="178">
        <v>300</v>
      </c>
      <c r="G94" s="178">
        <v>7593</v>
      </c>
      <c r="H94" s="178">
        <v>3066</v>
      </c>
      <c r="I94" s="178">
        <v>4527</v>
      </c>
    </row>
    <row r="95" spans="1:9">
      <c r="A95" s="179" t="s">
        <v>528</v>
      </c>
      <c r="B95" s="179" t="s">
        <v>518</v>
      </c>
      <c r="C95" s="186">
        <v>38530</v>
      </c>
      <c r="D95" s="188">
        <f t="shared" si="4"/>
        <v>2005</v>
      </c>
      <c r="E95" s="183" t="s">
        <v>534</v>
      </c>
      <c r="F95" s="178">
        <v>200</v>
      </c>
      <c r="G95" s="178">
        <v>4902</v>
      </c>
      <c r="H95" s="178">
        <v>2044</v>
      </c>
      <c r="I95" s="178">
        <v>2858</v>
      </c>
    </row>
    <row r="96" spans="1:9">
      <c r="A96" s="179" t="s">
        <v>429</v>
      </c>
      <c r="B96" s="179" t="s">
        <v>517</v>
      </c>
      <c r="C96" s="186">
        <v>38539</v>
      </c>
      <c r="D96" s="188">
        <f t="shared" si="4"/>
        <v>2005</v>
      </c>
      <c r="E96" s="183" t="s">
        <v>529</v>
      </c>
      <c r="F96" s="178">
        <v>700</v>
      </c>
      <c r="G96" s="178">
        <v>13804</v>
      </c>
      <c r="H96" s="178">
        <v>5929</v>
      </c>
      <c r="I96" s="178">
        <v>7875</v>
      </c>
    </row>
    <row r="97" spans="1:9">
      <c r="A97" s="179" t="s">
        <v>423</v>
      </c>
      <c r="B97" s="179" t="s">
        <v>517</v>
      </c>
      <c r="C97" s="186">
        <v>38541</v>
      </c>
      <c r="D97" s="188">
        <f t="shared" si="4"/>
        <v>2005</v>
      </c>
      <c r="E97" s="183" t="s">
        <v>534</v>
      </c>
      <c r="F97" s="178">
        <v>1000</v>
      </c>
      <c r="G97" s="178">
        <v>19890</v>
      </c>
      <c r="H97" s="178">
        <v>8470</v>
      </c>
      <c r="I97" s="178">
        <v>11420</v>
      </c>
    </row>
    <row r="98" spans="1:9">
      <c r="A98" s="179" t="s">
        <v>423</v>
      </c>
      <c r="B98" s="179" t="s">
        <v>518</v>
      </c>
      <c r="C98" s="186">
        <v>38542</v>
      </c>
      <c r="D98" s="188">
        <f t="shared" si="4"/>
        <v>2005</v>
      </c>
      <c r="E98" s="183" t="s">
        <v>533</v>
      </c>
      <c r="F98" s="178">
        <v>1000</v>
      </c>
      <c r="G98" s="178">
        <v>25080</v>
      </c>
      <c r="H98" s="178">
        <v>10220</v>
      </c>
      <c r="I98" s="178">
        <v>14860</v>
      </c>
    </row>
    <row r="99" spans="1:9">
      <c r="A99" s="179" t="s">
        <v>429</v>
      </c>
      <c r="B99" s="179" t="s">
        <v>517</v>
      </c>
      <c r="C99" s="186">
        <v>38546</v>
      </c>
      <c r="D99" s="188">
        <f t="shared" si="4"/>
        <v>2005</v>
      </c>
      <c r="E99" s="183" t="s">
        <v>533</v>
      </c>
      <c r="F99" s="178">
        <v>900</v>
      </c>
      <c r="G99" s="178">
        <v>17172</v>
      </c>
      <c r="H99" s="178">
        <v>7623</v>
      </c>
      <c r="I99" s="178">
        <v>9549</v>
      </c>
    </row>
    <row r="100" spans="1:9">
      <c r="A100" s="179" t="s">
        <v>429</v>
      </c>
      <c r="B100" s="179" t="s">
        <v>516</v>
      </c>
      <c r="C100" s="186">
        <v>38548</v>
      </c>
      <c r="D100" s="188">
        <f t="shared" si="4"/>
        <v>2005</v>
      </c>
      <c r="E100" s="183" t="s">
        <v>523</v>
      </c>
      <c r="F100" s="178">
        <v>600</v>
      </c>
      <c r="G100" s="178">
        <v>14466</v>
      </c>
      <c r="H100" s="178">
        <v>5904</v>
      </c>
      <c r="I100" s="178">
        <v>8562</v>
      </c>
    </row>
    <row r="101" spans="1:9">
      <c r="A101" s="179" t="s">
        <v>528</v>
      </c>
      <c r="B101" s="179" t="s">
        <v>518</v>
      </c>
      <c r="C101" s="186">
        <v>38554</v>
      </c>
      <c r="D101" s="188">
        <f t="shared" si="4"/>
        <v>2005</v>
      </c>
      <c r="E101" s="183" t="s">
        <v>532</v>
      </c>
      <c r="F101" s="178">
        <v>1000</v>
      </c>
      <c r="G101" s="178">
        <v>25140</v>
      </c>
      <c r="H101" s="178">
        <v>10220</v>
      </c>
      <c r="I101" s="178">
        <v>14920</v>
      </c>
    </row>
    <row r="102" spans="1:9">
      <c r="A102" s="179" t="s">
        <v>423</v>
      </c>
      <c r="B102" s="179" t="s">
        <v>518</v>
      </c>
      <c r="C102" s="186">
        <v>38562</v>
      </c>
      <c r="D102" s="188">
        <f t="shared" si="4"/>
        <v>2005</v>
      </c>
      <c r="E102" s="183" t="s">
        <v>523</v>
      </c>
      <c r="F102" s="178">
        <v>400</v>
      </c>
      <c r="G102" s="178">
        <v>8744</v>
      </c>
      <c r="H102" s="178">
        <v>4088</v>
      </c>
      <c r="I102" s="178">
        <v>4656</v>
      </c>
    </row>
    <row r="103" spans="1:9">
      <c r="A103" s="179" t="s">
        <v>429</v>
      </c>
      <c r="B103" s="179" t="s">
        <v>518</v>
      </c>
      <c r="C103" s="186">
        <v>38564</v>
      </c>
      <c r="D103" s="188">
        <f t="shared" si="4"/>
        <v>2005</v>
      </c>
      <c r="E103" s="183" t="s">
        <v>523</v>
      </c>
      <c r="F103" s="178">
        <v>900</v>
      </c>
      <c r="G103" s="178">
        <v>21465</v>
      </c>
      <c r="H103" s="178">
        <v>9198</v>
      </c>
      <c r="I103" s="178">
        <v>12267</v>
      </c>
    </row>
    <row r="104" spans="1:9">
      <c r="A104" s="179" t="s">
        <v>528</v>
      </c>
      <c r="B104" s="179" t="s">
        <v>517</v>
      </c>
      <c r="C104" s="186">
        <v>38564</v>
      </c>
      <c r="D104" s="188">
        <f t="shared" si="4"/>
        <v>2005</v>
      </c>
      <c r="E104" s="183" t="s">
        <v>536</v>
      </c>
      <c r="F104" s="178">
        <v>800</v>
      </c>
      <c r="G104" s="178">
        <v>15312</v>
      </c>
      <c r="H104" s="178">
        <v>6776</v>
      </c>
      <c r="I104" s="178">
        <v>8536</v>
      </c>
    </row>
    <row r="105" spans="1:9">
      <c r="A105" s="179" t="s">
        <v>429</v>
      </c>
      <c r="B105" s="179" t="s">
        <v>517</v>
      </c>
      <c r="C105" s="186">
        <v>38567</v>
      </c>
      <c r="D105" s="188">
        <f t="shared" si="4"/>
        <v>2005</v>
      </c>
      <c r="E105" s="183" t="s">
        <v>533</v>
      </c>
      <c r="F105" s="178">
        <v>800</v>
      </c>
      <c r="G105" s="178">
        <v>15640</v>
      </c>
      <c r="H105" s="178">
        <v>6776</v>
      </c>
      <c r="I105" s="178">
        <v>8864</v>
      </c>
    </row>
    <row r="106" spans="1:9">
      <c r="A106" s="179" t="s">
        <v>528</v>
      </c>
      <c r="B106" s="179" t="s">
        <v>517</v>
      </c>
      <c r="C106" s="186">
        <v>38567</v>
      </c>
      <c r="D106" s="188">
        <f t="shared" si="4"/>
        <v>2005</v>
      </c>
      <c r="E106" s="183" t="s">
        <v>532</v>
      </c>
      <c r="F106" s="178">
        <v>500</v>
      </c>
      <c r="G106" s="178">
        <v>8970</v>
      </c>
      <c r="H106" s="178">
        <v>4235</v>
      </c>
      <c r="I106" s="178">
        <v>4735</v>
      </c>
    </row>
    <row r="107" spans="1:9">
      <c r="A107" s="179" t="s">
        <v>528</v>
      </c>
      <c r="B107" s="179" t="s">
        <v>518</v>
      </c>
      <c r="C107" s="186">
        <v>38568</v>
      </c>
      <c r="D107" s="188">
        <f t="shared" si="4"/>
        <v>2005</v>
      </c>
      <c r="E107" s="183" t="s">
        <v>523</v>
      </c>
      <c r="F107" s="178">
        <v>900</v>
      </c>
      <c r="G107" s="178">
        <v>18918</v>
      </c>
      <c r="H107" s="178">
        <v>9198</v>
      </c>
      <c r="I107" s="178">
        <v>9720</v>
      </c>
    </row>
    <row r="108" spans="1:9">
      <c r="A108" s="179" t="s">
        <v>528</v>
      </c>
      <c r="B108" s="179" t="s">
        <v>516</v>
      </c>
      <c r="C108" s="186">
        <v>38573</v>
      </c>
      <c r="D108" s="188">
        <f t="shared" si="4"/>
        <v>2005</v>
      </c>
      <c r="E108" s="183" t="s">
        <v>530</v>
      </c>
      <c r="F108" s="178">
        <v>200</v>
      </c>
      <c r="G108" s="178">
        <v>4484</v>
      </c>
      <c r="H108" s="178">
        <v>1968</v>
      </c>
      <c r="I108" s="178">
        <v>2516</v>
      </c>
    </row>
    <row r="109" spans="1:9">
      <c r="A109" s="179" t="s">
        <v>423</v>
      </c>
      <c r="B109" s="179" t="s">
        <v>517</v>
      </c>
      <c r="C109" s="186">
        <v>38574</v>
      </c>
      <c r="D109" s="188">
        <f t="shared" si="4"/>
        <v>2005</v>
      </c>
      <c r="E109" s="183" t="s">
        <v>533</v>
      </c>
      <c r="F109" s="178">
        <v>100</v>
      </c>
      <c r="G109" s="178">
        <v>1704</v>
      </c>
      <c r="H109" s="178">
        <v>847</v>
      </c>
      <c r="I109" s="178">
        <v>857</v>
      </c>
    </row>
    <row r="110" spans="1:9">
      <c r="A110" s="179" t="s">
        <v>423</v>
      </c>
      <c r="B110" s="179" t="s">
        <v>518</v>
      </c>
      <c r="C110" s="186">
        <v>38574</v>
      </c>
      <c r="D110" s="188">
        <f t="shared" si="4"/>
        <v>2005</v>
      </c>
      <c r="E110" s="183" t="s">
        <v>544</v>
      </c>
      <c r="F110" s="178">
        <v>600</v>
      </c>
      <c r="G110" s="178">
        <v>13806</v>
      </c>
      <c r="H110" s="178">
        <v>6132</v>
      </c>
      <c r="I110" s="178">
        <v>7674</v>
      </c>
    </row>
    <row r="111" spans="1:9">
      <c r="A111" s="179" t="s">
        <v>528</v>
      </c>
      <c r="B111" s="179" t="s">
        <v>516</v>
      </c>
      <c r="C111" s="186">
        <v>38575</v>
      </c>
      <c r="D111" s="188">
        <f t="shared" si="4"/>
        <v>2005</v>
      </c>
      <c r="E111" s="183" t="s">
        <v>524</v>
      </c>
      <c r="F111" s="178">
        <v>700</v>
      </c>
      <c r="G111" s="178">
        <v>14203</v>
      </c>
      <c r="H111" s="178">
        <v>6888</v>
      </c>
      <c r="I111" s="178">
        <v>7315</v>
      </c>
    </row>
    <row r="112" spans="1:9">
      <c r="A112" s="179" t="s">
        <v>429</v>
      </c>
      <c r="B112" s="179" t="s">
        <v>516</v>
      </c>
      <c r="C112" s="186">
        <v>38576</v>
      </c>
      <c r="D112" s="188">
        <f t="shared" si="4"/>
        <v>2005</v>
      </c>
      <c r="E112" s="183" t="s">
        <v>524</v>
      </c>
      <c r="F112" s="178">
        <v>300</v>
      </c>
      <c r="G112" s="178">
        <v>6228</v>
      </c>
      <c r="H112" s="178">
        <v>2952</v>
      </c>
      <c r="I112" s="178">
        <v>3276</v>
      </c>
    </row>
    <row r="113" spans="1:9">
      <c r="A113" s="179" t="s">
        <v>528</v>
      </c>
      <c r="B113" s="179" t="s">
        <v>517</v>
      </c>
      <c r="C113" s="186">
        <v>38577</v>
      </c>
      <c r="D113" s="188">
        <f t="shared" si="4"/>
        <v>2005</v>
      </c>
      <c r="E113" s="183" t="s">
        <v>531</v>
      </c>
      <c r="F113" s="178">
        <v>500</v>
      </c>
      <c r="G113" s="178">
        <v>8785</v>
      </c>
      <c r="H113" s="178">
        <v>4235</v>
      </c>
      <c r="I113" s="178">
        <v>4550</v>
      </c>
    </row>
    <row r="114" spans="1:9">
      <c r="A114" s="179" t="s">
        <v>423</v>
      </c>
      <c r="B114" s="179" t="s">
        <v>516</v>
      </c>
      <c r="C114" s="186">
        <v>38577</v>
      </c>
      <c r="D114" s="188">
        <f t="shared" si="4"/>
        <v>2005</v>
      </c>
      <c r="E114" s="183" t="s">
        <v>531</v>
      </c>
      <c r="F114" s="178">
        <v>500</v>
      </c>
      <c r="G114" s="178">
        <v>10955</v>
      </c>
      <c r="H114" s="178">
        <v>4920</v>
      </c>
      <c r="I114" s="178">
        <v>6035</v>
      </c>
    </row>
    <row r="115" spans="1:9">
      <c r="A115" s="179" t="s">
        <v>528</v>
      </c>
      <c r="B115" s="179" t="s">
        <v>518</v>
      </c>
      <c r="C115" s="186">
        <v>38577</v>
      </c>
      <c r="D115" s="188">
        <f t="shared" si="4"/>
        <v>2005</v>
      </c>
      <c r="E115" s="183" t="s">
        <v>529</v>
      </c>
      <c r="F115" s="178">
        <v>1000</v>
      </c>
      <c r="G115" s="178">
        <v>22680</v>
      </c>
      <c r="H115" s="178">
        <v>10220</v>
      </c>
      <c r="I115" s="178">
        <v>12460</v>
      </c>
    </row>
    <row r="116" spans="1:9">
      <c r="A116" s="179" t="s">
        <v>429</v>
      </c>
      <c r="B116" s="179" t="s">
        <v>518</v>
      </c>
      <c r="C116" s="186">
        <v>38578</v>
      </c>
      <c r="D116" s="188">
        <f t="shared" si="4"/>
        <v>2005</v>
      </c>
      <c r="E116" s="183" t="s">
        <v>525</v>
      </c>
      <c r="F116" s="178">
        <v>600</v>
      </c>
      <c r="G116" s="178">
        <v>15006</v>
      </c>
      <c r="H116" s="178">
        <v>6132</v>
      </c>
      <c r="I116" s="178">
        <v>8874</v>
      </c>
    </row>
    <row r="117" spans="1:9">
      <c r="A117" s="179" t="s">
        <v>429</v>
      </c>
      <c r="B117" s="179" t="s">
        <v>518</v>
      </c>
      <c r="C117" s="186">
        <v>38585</v>
      </c>
      <c r="D117" s="188">
        <f t="shared" si="4"/>
        <v>2005</v>
      </c>
      <c r="E117" s="183" t="s">
        <v>545</v>
      </c>
      <c r="F117" s="178">
        <v>800</v>
      </c>
      <c r="G117" s="178">
        <v>18264</v>
      </c>
      <c r="H117" s="178">
        <v>8176</v>
      </c>
      <c r="I117" s="178">
        <v>10088</v>
      </c>
    </row>
    <row r="118" spans="1:9">
      <c r="A118" s="179" t="s">
        <v>528</v>
      </c>
      <c r="B118" s="179" t="s">
        <v>517</v>
      </c>
      <c r="C118" s="186">
        <v>38585</v>
      </c>
      <c r="D118" s="188">
        <f t="shared" si="4"/>
        <v>2005</v>
      </c>
      <c r="E118" s="183" t="s">
        <v>532</v>
      </c>
      <c r="F118" s="178">
        <v>600</v>
      </c>
      <c r="G118" s="178">
        <v>12360</v>
      </c>
      <c r="H118" s="178">
        <v>5082</v>
      </c>
      <c r="I118" s="178">
        <v>7278</v>
      </c>
    </row>
    <row r="119" spans="1:9">
      <c r="A119" s="179" t="s">
        <v>423</v>
      </c>
      <c r="B119" s="179" t="s">
        <v>517</v>
      </c>
      <c r="C119" s="186">
        <v>38586</v>
      </c>
      <c r="D119" s="188">
        <f t="shared" si="4"/>
        <v>2005</v>
      </c>
      <c r="E119" s="183" t="s">
        <v>546</v>
      </c>
      <c r="F119" s="178">
        <v>300</v>
      </c>
      <c r="G119" s="178">
        <v>5859</v>
      </c>
      <c r="H119" s="178">
        <v>2541</v>
      </c>
      <c r="I119" s="178">
        <v>3318</v>
      </c>
    </row>
    <row r="120" spans="1:9">
      <c r="A120" s="179" t="s">
        <v>528</v>
      </c>
      <c r="B120" s="179" t="s">
        <v>516</v>
      </c>
      <c r="C120" s="186">
        <v>38588</v>
      </c>
      <c r="D120" s="188">
        <f t="shared" si="4"/>
        <v>2005</v>
      </c>
      <c r="E120" s="183" t="s">
        <v>529</v>
      </c>
      <c r="F120" s="178">
        <v>900</v>
      </c>
      <c r="G120" s="178">
        <v>18990</v>
      </c>
      <c r="H120" s="178">
        <v>8856</v>
      </c>
      <c r="I120" s="178">
        <v>10134</v>
      </c>
    </row>
    <row r="121" spans="1:9">
      <c r="A121" s="179" t="s">
        <v>528</v>
      </c>
      <c r="B121" s="179" t="s">
        <v>518</v>
      </c>
      <c r="C121" s="186">
        <v>38590</v>
      </c>
      <c r="D121" s="188">
        <f t="shared" si="4"/>
        <v>2005</v>
      </c>
      <c r="E121" s="183" t="s">
        <v>525</v>
      </c>
      <c r="F121" s="178">
        <v>600</v>
      </c>
      <c r="G121" s="178">
        <v>14448</v>
      </c>
      <c r="H121" s="178">
        <v>6132</v>
      </c>
      <c r="I121" s="178">
        <v>8316</v>
      </c>
    </row>
    <row r="122" spans="1:9">
      <c r="A122" s="179" t="s">
        <v>528</v>
      </c>
      <c r="B122" s="179" t="s">
        <v>517</v>
      </c>
      <c r="C122" s="186">
        <v>38591</v>
      </c>
      <c r="D122" s="188">
        <f t="shared" si="4"/>
        <v>2005</v>
      </c>
      <c r="E122" s="183" t="s">
        <v>529</v>
      </c>
      <c r="F122" s="178">
        <v>1000</v>
      </c>
      <c r="G122" s="178">
        <v>21010</v>
      </c>
      <c r="H122" s="178">
        <v>8470</v>
      </c>
      <c r="I122" s="178">
        <v>12540</v>
      </c>
    </row>
    <row r="123" spans="1:9">
      <c r="A123" s="179" t="s">
        <v>423</v>
      </c>
      <c r="B123" s="179" t="s">
        <v>516</v>
      </c>
      <c r="C123" s="186">
        <v>38594</v>
      </c>
      <c r="D123" s="188">
        <f t="shared" si="4"/>
        <v>2005</v>
      </c>
      <c r="E123" s="183" t="s">
        <v>531</v>
      </c>
      <c r="F123" s="178">
        <v>300</v>
      </c>
      <c r="G123" s="178">
        <v>7032</v>
      </c>
      <c r="H123" s="178">
        <v>2952</v>
      </c>
      <c r="I123" s="178">
        <v>4080</v>
      </c>
    </row>
    <row r="124" spans="1:9">
      <c r="A124" s="179" t="s">
        <v>528</v>
      </c>
      <c r="B124" s="179" t="s">
        <v>518</v>
      </c>
      <c r="C124" s="186">
        <v>38595</v>
      </c>
      <c r="D124" s="188">
        <f t="shared" si="4"/>
        <v>2005</v>
      </c>
      <c r="E124" s="183" t="s">
        <v>532</v>
      </c>
      <c r="F124" s="178">
        <v>500</v>
      </c>
      <c r="G124" s="178">
        <v>11525</v>
      </c>
      <c r="H124" s="178">
        <v>5110</v>
      </c>
      <c r="I124" s="178">
        <v>6415</v>
      </c>
    </row>
    <row r="125" spans="1:9">
      <c r="A125" s="179" t="s">
        <v>429</v>
      </c>
      <c r="B125" s="179" t="s">
        <v>517</v>
      </c>
      <c r="C125" s="186">
        <v>38596</v>
      </c>
      <c r="D125" s="188">
        <f t="shared" si="4"/>
        <v>2005</v>
      </c>
      <c r="E125" s="183" t="s">
        <v>524</v>
      </c>
      <c r="F125" s="178">
        <v>300</v>
      </c>
      <c r="G125" s="178">
        <v>6045</v>
      </c>
      <c r="H125" s="178">
        <v>2541</v>
      </c>
      <c r="I125" s="178">
        <v>3504</v>
      </c>
    </row>
    <row r="126" spans="1:9">
      <c r="A126" s="179" t="s">
        <v>423</v>
      </c>
      <c r="B126" s="179" t="s">
        <v>516</v>
      </c>
      <c r="C126" s="186">
        <v>38597</v>
      </c>
      <c r="D126" s="188">
        <f t="shared" si="4"/>
        <v>2005</v>
      </c>
      <c r="E126" s="183" t="s">
        <v>523</v>
      </c>
      <c r="F126" s="178">
        <v>600</v>
      </c>
      <c r="G126" s="178">
        <v>14472</v>
      </c>
      <c r="H126" s="178">
        <v>5904</v>
      </c>
      <c r="I126" s="178">
        <v>8568</v>
      </c>
    </row>
    <row r="127" spans="1:9">
      <c r="A127" s="179" t="s">
        <v>429</v>
      </c>
      <c r="B127" s="179" t="s">
        <v>517</v>
      </c>
      <c r="C127" s="186">
        <v>38598</v>
      </c>
      <c r="D127" s="188">
        <f t="shared" si="4"/>
        <v>2005</v>
      </c>
      <c r="E127" s="183" t="s">
        <v>533</v>
      </c>
      <c r="F127" s="178">
        <v>200</v>
      </c>
      <c r="G127" s="178">
        <v>3632</v>
      </c>
      <c r="H127" s="178">
        <v>1694</v>
      </c>
      <c r="I127" s="178">
        <v>1938</v>
      </c>
    </row>
    <row r="128" spans="1:9">
      <c r="A128" s="179" t="s">
        <v>429</v>
      </c>
      <c r="B128" s="179" t="s">
        <v>518</v>
      </c>
      <c r="C128" s="186">
        <v>38600</v>
      </c>
      <c r="D128" s="188">
        <f t="shared" si="4"/>
        <v>2005</v>
      </c>
      <c r="E128" s="183" t="s">
        <v>537</v>
      </c>
      <c r="F128" s="178">
        <v>600</v>
      </c>
      <c r="G128" s="178">
        <v>12570</v>
      </c>
      <c r="H128" s="178">
        <v>6132</v>
      </c>
      <c r="I128" s="178">
        <v>6438</v>
      </c>
    </row>
    <row r="129" spans="1:9">
      <c r="A129" s="179" t="s">
        <v>429</v>
      </c>
      <c r="B129" s="179" t="s">
        <v>516</v>
      </c>
      <c r="C129" s="186">
        <v>38602</v>
      </c>
      <c r="D129" s="188">
        <f t="shared" si="4"/>
        <v>2005</v>
      </c>
      <c r="E129" s="183" t="s">
        <v>530</v>
      </c>
      <c r="F129" s="178">
        <v>600</v>
      </c>
      <c r="G129" s="178">
        <v>12798</v>
      </c>
      <c r="H129" s="178">
        <v>5904</v>
      </c>
      <c r="I129" s="178">
        <v>6894</v>
      </c>
    </row>
    <row r="130" spans="1:9">
      <c r="A130" s="179" t="s">
        <v>423</v>
      </c>
      <c r="B130" s="179" t="s">
        <v>517</v>
      </c>
      <c r="C130" s="186">
        <v>38606</v>
      </c>
      <c r="D130" s="188">
        <f t="shared" ref="D130:D193" si="5">YEAR(C130)</f>
        <v>2005</v>
      </c>
      <c r="E130" s="183" t="s">
        <v>530</v>
      </c>
      <c r="F130" s="178">
        <v>1000</v>
      </c>
      <c r="G130" s="178">
        <v>19250</v>
      </c>
      <c r="H130" s="178">
        <v>8470</v>
      </c>
      <c r="I130" s="178">
        <v>10780</v>
      </c>
    </row>
    <row r="131" spans="1:9">
      <c r="A131" s="179" t="s">
        <v>429</v>
      </c>
      <c r="B131" s="179" t="s">
        <v>516</v>
      </c>
      <c r="C131" s="186">
        <v>38607</v>
      </c>
      <c r="D131" s="188">
        <f t="shared" si="5"/>
        <v>2005</v>
      </c>
      <c r="E131" s="183" t="s">
        <v>531</v>
      </c>
      <c r="F131" s="178">
        <v>200</v>
      </c>
      <c r="G131" s="178">
        <v>4740</v>
      </c>
      <c r="H131" s="178">
        <v>1968</v>
      </c>
      <c r="I131" s="178">
        <v>2772</v>
      </c>
    </row>
    <row r="132" spans="1:9">
      <c r="A132" s="179" t="s">
        <v>528</v>
      </c>
      <c r="B132" s="179" t="s">
        <v>517</v>
      </c>
      <c r="C132" s="186">
        <v>38608</v>
      </c>
      <c r="D132" s="188">
        <f t="shared" si="5"/>
        <v>2005</v>
      </c>
      <c r="E132" s="183" t="s">
        <v>531</v>
      </c>
      <c r="F132" s="178">
        <v>800</v>
      </c>
      <c r="G132" s="178">
        <v>15976</v>
      </c>
      <c r="H132" s="178">
        <v>6776</v>
      </c>
      <c r="I132" s="178">
        <v>9200</v>
      </c>
    </row>
    <row r="133" spans="1:9">
      <c r="A133" s="179" t="s">
        <v>423</v>
      </c>
      <c r="B133" s="179" t="s">
        <v>518</v>
      </c>
      <c r="C133" s="186">
        <v>38608</v>
      </c>
      <c r="D133" s="188">
        <f t="shared" si="5"/>
        <v>2005</v>
      </c>
      <c r="E133" s="183" t="s">
        <v>547</v>
      </c>
      <c r="F133" s="178">
        <v>500</v>
      </c>
      <c r="G133" s="178">
        <v>11680</v>
      </c>
      <c r="H133" s="178">
        <v>5110</v>
      </c>
      <c r="I133" s="178">
        <v>6570</v>
      </c>
    </row>
    <row r="134" spans="1:9">
      <c r="A134" s="179" t="s">
        <v>528</v>
      </c>
      <c r="B134" s="179" t="s">
        <v>518</v>
      </c>
      <c r="C134" s="186">
        <v>38610</v>
      </c>
      <c r="D134" s="188">
        <f t="shared" si="5"/>
        <v>2005</v>
      </c>
      <c r="E134" s="183" t="s">
        <v>531</v>
      </c>
      <c r="F134" s="178">
        <v>500</v>
      </c>
      <c r="G134" s="178">
        <v>10550</v>
      </c>
      <c r="H134" s="178">
        <v>5110</v>
      </c>
      <c r="I134" s="178">
        <v>5440</v>
      </c>
    </row>
    <row r="135" spans="1:9">
      <c r="A135" s="179" t="s">
        <v>429</v>
      </c>
      <c r="B135" s="179" t="s">
        <v>516</v>
      </c>
      <c r="C135" s="186">
        <v>38612</v>
      </c>
      <c r="D135" s="188">
        <f t="shared" si="5"/>
        <v>2005</v>
      </c>
      <c r="E135" s="183" t="s">
        <v>533</v>
      </c>
      <c r="F135" s="178">
        <v>400</v>
      </c>
      <c r="G135" s="178">
        <v>9760</v>
      </c>
      <c r="H135" s="178">
        <v>3936</v>
      </c>
      <c r="I135" s="178">
        <v>5824</v>
      </c>
    </row>
    <row r="136" spans="1:9">
      <c r="A136" s="179" t="s">
        <v>429</v>
      </c>
      <c r="B136" s="179" t="s">
        <v>517</v>
      </c>
      <c r="C136" s="186">
        <v>38614</v>
      </c>
      <c r="D136" s="188">
        <f t="shared" si="5"/>
        <v>2005</v>
      </c>
      <c r="E136" s="183" t="s">
        <v>543</v>
      </c>
      <c r="F136" s="178">
        <v>100</v>
      </c>
      <c r="G136" s="178">
        <v>1819</v>
      </c>
      <c r="H136" s="178">
        <v>847</v>
      </c>
      <c r="I136" s="178">
        <v>972</v>
      </c>
    </row>
    <row r="137" spans="1:9">
      <c r="A137" s="179" t="s">
        <v>528</v>
      </c>
      <c r="B137" s="179" t="s">
        <v>517</v>
      </c>
      <c r="C137" s="186">
        <v>38618</v>
      </c>
      <c r="D137" s="188">
        <f t="shared" si="5"/>
        <v>2005</v>
      </c>
      <c r="E137" s="183" t="s">
        <v>525</v>
      </c>
      <c r="F137" s="178">
        <v>900</v>
      </c>
      <c r="G137" s="178">
        <v>15255</v>
      </c>
      <c r="H137" s="178">
        <v>7623</v>
      </c>
      <c r="I137" s="178">
        <v>7632</v>
      </c>
    </row>
    <row r="138" spans="1:9">
      <c r="A138" s="179" t="s">
        <v>429</v>
      </c>
      <c r="B138" s="179" t="s">
        <v>516</v>
      </c>
      <c r="C138" s="186">
        <v>38619</v>
      </c>
      <c r="D138" s="188">
        <f t="shared" si="5"/>
        <v>2005</v>
      </c>
      <c r="E138" s="183" t="s">
        <v>533</v>
      </c>
      <c r="F138" s="178">
        <v>900</v>
      </c>
      <c r="G138" s="178">
        <v>18486</v>
      </c>
      <c r="H138" s="178">
        <v>8856</v>
      </c>
      <c r="I138" s="178">
        <v>9630</v>
      </c>
    </row>
    <row r="139" spans="1:9">
      <c r="A139" s="179" t="s">
        <v>528</v>
      </c>
      <c r="B139" s="179" t="s">
        <v>518</v>
      </c>
      <c r="C139" s="186">
        <v>38619</v>
      </c>
      <c r="D139" s="188">
        <f t="shared" si="5"/>
        <v>2005</v>
      </c>
      <c r="E139" s="183" t="s">
        <v>548</v>
      </c>
      <c r="F139" s="178">
        <v>300</v>
      </c>
      <c r="G139" s="178">
        <v>7167</v>
      </c>
      <c r="H139" s="178">
        <v>3066</v>
      </c>
      <c r="I139" s="178">
        <v>4101</v>
      </c>
    </row>
    <row r="140" spans="1:9">
      <c r="A140" s="179" t="s">
        <v>429</v>
      </c>
      <c r="B140" s="179" t="s">
        <v>516</v>
      </c>
      <c r="C140" s="186">
        <v>38619</v>
      </c>
      <c r="D140" s="188">
        <f t="shared" si="5"/>
        <v>2005</v>
      </c>
      <c r="E140" s="183" t="s">
        <v>524</v>
      </c>
      <c r="F140" s="178">
        <v>500</v>
      </c>
      <c r="G140" s="178">
        <v>10295</v>
      </c>
      <c r="H140" s="178">
        <v>4920</v>
      </c>
      <c r="I140" s="178">
        <v>5375</v>
      </c>
    </row>
    <row r="141" spans="1:9">
      <c r="A141" s="179" t="s">
        <v>429</v>
      </c>
      <c r="B141" s="179" t="s">
        <v>518</v>
      </c>
      <c r="C141" s="186">
        <v>38619</v>
      </c>
      <c r="D141" s="188">
        <f t="shared" si="5"/>
        <v>2005</v>
      </c>
      <c r="E141" s="183" t="s">
        <v>532</v>
      </c>
      <c r="F141" s="178">
        <v>500</v>
      </c>
      <c r="G141" s="178">
        <v>10935</v>
      </c>
      <c r="H141" s="178">
        <v>5110</v>
      </c>
      <c r="I141" s="178">
        <v>5825</v>
      </c>
    </row>
    <row r="142" spans="1:9">
      <c r="A142" s="179" t="s">
        <v>528</v>
      </c>
      <c r="B142" s="179" t="s">
        <v>517</v>
      </c>
      <c r="C142" s="186">
        <v>38623</v>
      </c>
      <c r="D142" s="188">
        <f t="shared" si="5"/>
        <v>2005</v>
      </c>
      <c r="E142" s="183" t="s">
        <v>533</v>
      </c>
      <c r="F142" s="178">
        <v>600</v>
      </c>
      <c r="G142" s="178">
        <v>10290</v>
      </c>
      <c r="H142" s="178">
        <v>5082</v>
      </c>
      <c r="I142" s="178">
        <v>5208</v>
      </c>
    </row>
    <row r="143" spans="1:9">
      <c r="A143" s="179" t="s">
        <v>429</v>
      </c>
      <c r="B143" s="179" t="s">
        <v>516</v>
      </c>
      <c r="C143" s="186">
        <v>38623</v>
      </c>
      <c r="D143" s="188">
        <f t="shared" si="5"/>
        <v>2005</v>
      </c>
      <c r="E143" s="183" t="s">
        <v>533</v>
      </c>
      <c r="F143" s="178">
        <v>200</v>
      </c>
      <c r="G143" s="178">
        <v>4186</v>
      </c>
      <c r="H143" s="178">
        <v>1968</v>
      </c>
      <c r="I143" s="178">
        <v>2218</v>
      </c>
    </row>
    <row r="144" spans="1:9">
      <c r="A144" s="179" t="s">
        <v>528</v>
      </c>
      <c r="B144" s="179" t="s">
        <v>517</v>
      </c>
      <c r="C144" s="186">
        <v>38626</v>
      </c>
      <c r="D144" s="188">
        <f t="shared" si="5"/>
        <v>2005</v>
      </c>
      <c r="E144" s="183" t="s">
        <v>532</v>
      </c>
      <c r="F144" s="178">
        <v>1000</v>
      </c>
      <c r="G144" s="178">
        <v>18290</v>
      </c>
      <c r="H144" s="178">
        <v>8470</v>
      </c>
      <c r="I144" s="178">
        <v>9820</v>
      </c>
    </row>
    <row r="145" spans="1:9">
      <c r="A145" s="179" t="s">
        <v>528</v>
      </c>
      <c r="B145" s="179" t="s">
        <v>517</v>
      </c>
      <c r="C145" s="186">
        <v>38627</v>
      </c>
      <c r="D145" s="188">
        <f t="shared" si="5"/>
        <v>2005</v>
      </c>
      <c r="E145" s="183" t="s">
        <v>525</v>
      </c>
      <c r="F145" s="178">
        <v>500</v>
      </c>
      <c r="G145" s="178">
        <v>9460</v>
      </c>
      <c r="H145" s="178">
        <v>4235</v>
      </c>
      <c r="I145" s="178">
        <v>5225</v>
      </c>
    </row>
    <row r="146" spans="1:9">
      <c r="A146" s="179" t="s">
        <v>429</v>
      </c>
      <c r="B146" s="179" t="s">
        <v>516</v>
      </c>
      <c r="C146" s="186">
        <v>38627</v>
      </c>
      <c r="D146" s="188">
        <f t="shared" si="5"/>
        <v>2005</v>
      </c>
      <c r="E146" s="183" t="s">
        <v>537</v>
      </c>
      <c r="F146" s="178">
        <v>600</v>
      </c>
      <c r="G146" s="178">
        <v>14580</v>
      </c>
      <c r="H146" s="178">
        <v>5904</v>
      </c>
      <c r="I146" s="178">
        <v>8676</v>
      </c>
    </row>
    <row r="147" spans="1:9">
      <c r="A147" s="179" t="s">
        <v>528</v>
      </c>
      <c r="B147" s="179" t="s">
        <v>516</v>
      </c>
      <c r="C147" s="186">
        <v>38629</v>
      </c>
      <c r="D147" s="188">
        <f t="shared" si="5"/>
        <v>2005</v>
      </c>
      <c r="E147" s="183" t="s">
        <v>524</v>
      </c>
      <c r="F147" s="178">
        <v>300</v>
      </c>
      <c r="G147" s="178">
        <v>6159</v>
      </c>
      <c r="H147" s="178">
        <v>2952</v>
      </c>
      <c r="I147" s="178">
        <v>3207</v>
      </c>
    </row>
    <row r="148" spans="1:9">
      <c r="A148" s="179" t="s">
        <v>423</v>
      </c>
      <c r="B148" s="179" t="s">
        <v>518</v>
      </c>
      <c r="C148" s="186">
        <v>38633</v>
      </c>
      <c r="D148" s="188">
        <f t="shared" si="5"/>
        <v>2005</v>
      </c>
      <c r="E148" s="183" t="s">
        <v>532</v>
      </c>
      <c r="F148" s="178">
        <v>1000</v>
      </c>
      <c r="G148" s="178">
        <v>24070</v>
      </c>
      <c r="H148" s="178">
        <v>10220</v>
      </c>
      <c r="I148" s="178">
        <v>13850</v>
      </c>
    </row>
    <row r="149" spans="1:9">
      <c r="A149" s="179" t="s">
        <v>528</v>
      </c>
      <c r="B149" s="179" t="s">
        <v>516</v>
      </c>
      <c r="C149" s="186">
        <v>38637</v>
      </c>
      <c r="D149" s="188">
        <f t="shared" si="5"/>
        <v>2005</v>
      </c>
      <c r="E149" s="183" t="s">
        <v>537</v>
      </c>
      <c r="F149" s="178">
        <v>300</v>
      </c>
      <c r="G149" s="178">
        <v>7245</v>
      </c>
      <c r="H149" s="178">
        <v>2952</v>
      </c>
      <c r="I149" s="178">
        <v>4293</v>
      </c>
    </row>
    <row r="150" spans="1:9">
      <c r="A150" s="179" t="s">
        <v>423</v>
      </c>
      <c r="B150" s="179" t="s">
        <v>516</v>
      </c>
      <c r="C150" s="186">
        <v>38638</v>
      </c>
      <c r="D150" s="188">
        <f t="shared" si="5"/>
        <v>2005</v>
      </c>
      <c r="E150" s="183" t="s">
        <v>534</v>
      </c>
      <c r="F150" s="178">
        <v>300</v>
      </c>
      <c r="G150" s="178">
        <v>6582</v>
      </c>
      <c r="H150" s="178">
        <v>2952</v>
      </c>
      <c r="I150" s="178">
        <v>3630</v>
      </c>
    </row>
    <row r="151" spans="1:9">
      <c r="A151" s="179" t="s">
        <v>528</v>
      </c>
      <c r="B151" s="179" t="s">
        <v>517</v>
      </c>
      <c r="C151" s="186">
        <v>38638</v>
      </c>
      <c r="D151" s="188">
        <f t="shared" si="5"/>
        <v>2005</v>
      </c>
      <c r="E151" s="183" t="s">
        <v>524</v>
      </c>
      <c r="F151" s="178">
        <v>600</v>
      </c>
      <c r="G151" s="178">
        <v>11922</v>
      </c>
      <c r="H151" s="178">
        <v>5082</v>
      </c>
      <c r="I151" s="178">
        <v>6840</v>
      </c>
    </row>
    <row r="152" spans="1:9">
      <c r="A152" s="179" t="s">
        <v>528</v>
      </c>
      <c r="B152" s="179" t="s">
        <v>518</v>
      </c>
      <c r="C152" s="186">
        <v>38639</v>
      </c>
      <c r="D152" s="188">
        <f t="shared" si="5"/>
        <v>2005</v>
      </c>
      <c r="E152" s="183" t="s">
        <v>531</v>
      </c>
      <c r="F152" s="178">
        <v>400</v>
      </c>
      <c r="G152" s="178">
        <v>8804</v>
      </c>
      <c r="H152" s="178">
        <v>4088</v>
      </c>
      <c r="I152" s="178">
        <v>4716</v>
      </c>
    </row>
    <row r="153" spans="1:9">
      <c r="A153" s="179" t="s">
        <v>429</v>
      </c>
      <c r="B153" s="179" t="s">
        <v>517</v>
      </c>
      <c r="C153" s="186">
        <v>38642</v>
      </c>
      <c r="D153" s="188">
        <f t="shared" si="5"/>
        <v>2005</v>
      </c>
      <c r="E153" s="183" t="s">
        <v>525</v>
      </c>
      <c r="F153" s="178">
        <v>600</v>
      </c>
      <c r="G153" s="178">
        <v>12318</v>
      </c>
      <c r="H153" s="178">
        <v>5082</v>
      </c>
      <c r="I153" s="178">
        <v>7236</v>
      </c>
    </row>
    <row r="154" spans="1:9">
      <c r="A154" s="179" t="s">
        <v>528</v>
      </c>
      <c r="B154" s="179" t="s">
        <v>517</v>
      </c>
      <c r="C154" s="186">
        <v>38644</v>
      </c>
      <c r="D154" s="188">
        <f t="shared" si="5"/>
        <v>2005</v>
      </c>
      <c r="E154" s="183" t="s">
        <v>531</v>
      </c>
      <c r="F154" s="178">
        <v>700</v>
      </c>
      <c r="G154" s="178">
        <v>13433</v>
      </c>
      <c r="H154" s="178">
        <v>5929</v>
      </c>
      <c r="I154" s="178">
        <v>7504</v>
      </c>
    </row>
    <row r="155" spans="1:9">
      <c r="A155" s="179" t="s">
        <v>528</v>
      </c>
      <c r="B155" s="179" t="s">
        <v>518</v>
      </c>
      <c r="C155" s="186">
        <v>38646</v>
      </c>
      <c r="D155" s="188">
        <f t="shared" si="5"/>
        <v>2005</v>
      </c>
      <c r="E155" s="183" t="s">
        <v>533</v>
      </c>
      <c r="F155" s="178">
        <v>600</v>
      </c>
      <c r="G155" s="178">
        <v>12480</v>
      </c>
      <c r="H155" s="178">
        <v>6132</v>
      </c>
      <c r="I155" s="178">
        <v>6348</v>
      </c>
    </row>
    <row r="156" spans="1:9">
      <c r="A156" s="179" t="s">
        <v>423</v>
      </c>
      <c r="B156" s="179" t="s">
        <v>516</v>
      </c>
      <c r="C156" s="186">
        <v>38647</v>
      </c>
      <c r="D156" s="188">
        <f t="shared" si="5"/>
        <v>2005</v>
      </c>
      <c r="E156" s="183" t="s">
        <v>532</v>
      </c>
      <c r="F156" s="178">
        <v>800</v>
      </c>
      <c r="G156" s="178">
        <v>17544</v>
      </c>
      <c r="H156" s="178">
        <v>7872</v>
      </c>
      <c r="I156" s="178">
        <v>9672</v>
      </c>
    </row>
    <row r="157" spans="1:9">
      <c r="A157" s="179" t="s">
        <v>429</v>
      </c>
      <c r="B157" s="179" t="s">
        <v>516</v>
      </c>
      <c r="C157" s="186">
        <v>38650</v>
      </c>
      <c r="D157" s="188">
        <f t="shared" si="5"/>
        <v>2005</v>
      </c>
      <c r="E157" s="183" t="s">
        <v>531</v>
      </c>
      <c r="F157" s="178">
        <v>100</v>
      </c>
      <c r="G157" s="178">
        <v>2272</v>
      </c>
      <c r="H157" s="178">
        <v>984</v>
      </c>
      <c r="I157" s="178">
        <v>1288</v>
      </c>
    </row>
    <row r="158" spans="1:9">
      <c r="A158" s="179" t="s">
        <v>423</v>
      </c>
      <c r="B158" s="179" t="s">
        <v>516</v>
      </c>
      <c r="C158" s="186">
        <v>38650</v>
      </c>
      <c r="D158" s="188">
        <f t="shared" si="5"/>
        <v>2005</v>
      </c>
      <c r="E158" s="183" t="s">
        <v>532</v>
      </c>
      <c r="F158" s="178">
        <v>900</v>
      </c>
      <c r="G158" s="178">
        <v>18099</v>
      </c>
      <c r="H158" s="178">
        <v>8856</v>
      </c>
      <c r="I158" s="178">
        <v>9243</v>
      </c>
    </row>
    <row r="159" spans="1:9">
      <c r="A159" s="179" t="s">
        <v>528</v>
      </c>
      <c r="B159" s="179" t="s">
        <v>517</v>
      </c>
      <c r="C159" s="186">
        <v>38655</v>
      </c>
      <c r="D159" s="188">
        <f t="shared" si="5"/>
        <v>2005</v>
      </c>
      <c r="E159" s="183" t="s">
        <v>531</v>
      </c>
      <c r="F159" s="178">
        <v>300</v>
      </c>
      <c r="G159" s="178">
        <v>5847</v>
      </c>
      <c r="H159" s="178">
        <v>2541</v>
      </c>
      <c r="I159" s="178">
        <v>3306</v>
      </c>
    </row>
    <row r="160" spans="1:9">
      <c r="A160" s="179" t="s">
        <v>528</v>
      </c>
      <c r="B160" s="179" t="s">
        <v>516</v>
      </c>
      <c r="C160" s="186">
        <v>38656</v>
      </c>
      <c r="D160" s="188">
        <f t="shared" si="5"/>
        <v>2005</v>
      </c>
      <c r="E160" s="183" t="s">
        <v>537</v>
      </c>
      <c r="F160" s="178">
        <v>700</v>
      </c>
      <c r="G160" s="178">
        <v>17213</v>
      </c>
      <c r="H160" s="178">
        <v>6888</v>
      </c>
      <c r="I160" s="178">
        <v>10325</v>
      </c>
    </row>
    <row r="161" spans="1:9">
      <c r="A161" s="179" t="s">
        <v>429</v>
      </c>
      <c r="B161" s="179" t="s">
        <v>518</v>
      </c>
      <c r="C161" s="186">
        <v>38656</v>
      </c>
      <c r="D161" s="188">
        <f t="shared" si="5"/>
        <v>2005</v>
      </c>
      <c r="E161" s="183" t="s">
        <v>533</v>
      </c>
      <c r="F161" s="178">
        <v>100</v>
      </c>
      <c r="G161" s="178">
        <v>2095</v>
      </c>
      <c r="H161" s="178">
        <v>1022</v>
      </c>
      <c r="I161" s="178">
        <v>1073</v>
      </c>
    </row>
    <row r="162" spans="1:9">
      <c r="A162" s="179" t="s">
        <v>429</v>
      </c>
      <c r="B162" s="179" t="s">
        <v>517</v>
      </c>
      <c r="C162" s="186">
        <v>38658</v>
      </c>
      <c r="D162" s="188">
        <f t="shared" si="5"/>
        <v>2005</v>
      </c>
      <c r="E162" s="183" t="s">
        <v>523</v>
      </c>
      <c r="F162" s="178">
        <v>600</v>
      </c>
      <c r="G162" s="178">
        <v>11598</v>
      </c>
      <c r="H162" s="178">
        <v>5082</v>
      </c>
      <c r="I162" s="178">
        <v>6516</v>
      </c>
    </row>
    <row r="163" spans="1:9">
      <c r="A163" s="179" t="s">
        <v>528</v>
      </c>
      <c r="B163" s="179" t="s">
        <v>516</v>
      </c>
      <c r="C163" s="186">
        <v>38658</v>
      </c>
      <c r="D163" s="188">
        <f t="shared" si="5"/>
        <v>2005</v>
      </c>
      <c r="E163" s="183" t="s">
        <v>534</v>
      </c>
      <c r="F163" s="178">
        <v>200</v>
      </c>
      <c r="G163" s="178">
        <v>4286</v>
      </c>
      <c r="H163" s="178">
        <v>1968</v>
      </c>
      <c r="I163" s="178">
        <v>2318</v>
      </c>
    </row>
    <row r="164" spans="1:9">
      <c r="A164" s="179" t="s">
        <v>528</v>
      </c>
      <c r="B164" s="179" t="s">
        <v>518</v>
      </c>
      <c r="C164" s="186">
        <v>38659</v>
      </c>
      <c r="D164" s="188">
        <f t="shared" si="5"/>
        <v>2005</v>
      </c>
      <c r="E164" s="183" t="s">
        <v>523</v>
      </c>
      <c r="F164" s="178">
        <v>100</v>
      </c>
      <c r="G164" s="178">
        <v>2320</v>
      </c>
      <c r="H164" s="178">
        <v>1022</v>
      </c>
      <c r="I164" s="178">
        <v>1298</v>
      </c>
    </row>
    <row r="165" spans="1:9">
      <c r="A165" s="179" t="s">
        <v>429</v>
      </c>
      <c r="B165" s="179" t="s">
        <v>516</v>
      </c>
      <c r="C165" s="186">
        <v>38660</v>
      </c>
      <c r="D165" s="188">
        <f t="shared" si="5"/>
        <v>2005</v>
      </c>
      <c r="E165" s="183" t="s">
        <v>531</v>
      </c>
      <c r="F165" s="178">
        <v>300</v>
      </c>
      <c r="G165" s="178">
        <v>6588</v>
      </c>
      <c r="H165" s="178">
        <v>2952</v>
      </c>
      <c r="I165" s="178">
        <v>3636</v>
      </c>
    </row>
    <row r="166" spans="1:9">
      <c r="A166" s="179" t="s">
        <v>429</v>
      </c>
      <c r="B166" s="179" t="s">
        <v>517</v>
      </c>
      <c r="C166" s="186">
        <v>38662</v>
      </c>
      <c r="D166" s="188">
        <f t="shared" si="5"/>
        <v>2005</v>
      </c>
      <c r="E166" s="183" t="s">
        <v>524</v>
      </c>
      <c r="F166" s="178">
        <v>700</v>
      </c>
      <c r="G166" s="178">
        <v>13195</v>
      </c>
      <c r="H166" s="178">
        <v>5929</v>
      </c>
      <c r="I166" s="178">
        <v>7266</v>
      </c>
    </row>
    <row r="167" spans="1:9">
      <c r="A167" s="179" t="s">
        <v>528</v>
      </c>
      <c r="B167" s="179" t="s">
        <v>517</v>
      </c>
      <c r="C167" s="186">
        <v>38664</v>
      </c>
      <c r="D167" s="188">
        <f t="shared" si="5"/>
        <v>2005</v>
      </c>
      <c r="E167" s="183" t="s">
        <v>525</v>
      </c>
      <c r="F167" s="178">
        <v>100</v>
      </c>
      <c r="G167" s="178">
        <v>1795</v>
      </c>
      <c r="H167" s="178">
        <v>847</v>
      </c>
      <c r="I167" s="178">
        <v>948</v>
      </c>
    </row>
    <row r="168" spans="1:9">
      <c r="A168" s="179" t="s">
        <v>429</v>
      </c>
      <c r="B168" s="179" t="s">
        <v>517</v>
      </c>
      <c r="C168" s="186">
        <v>38664</v>
      </c>
      <c r="D168" s="188">
        <f t="shared" si="5"/>
        <v>2005</v>
      </c>
      <c r="E168" s="183" t="s">
        <v>525</v>
      </c>
      <c r="F168" s="178">
        <v>300</v>
      </c>
      <c r="G168" s="178">
        <v>5370</v>
      </c>
      <c r="H168" s="178">
        <v>2541</v>
      </c>
      <c r="I168" s="178">
        <v>2829</v>
      </c>
    </row>
    <row r="169" spans="1:9">
      <c r="A169" s="179" t="s">
        <v>528</v>
      </c>
      <c r="B169" s="179" t="s">
        <v>517</v>
      </c>
      <c r="C169" s="186">
        <v>38667</v>
      </c>
      <c r="D169" s="188">
        <f t="shared" si="5"/>
        <v>2005</v>
      </c>
      <c r="E169" s="183" t="s">
        <v>532</v>
      </c>
      <c r="F169" s="178">
        <v>200</v>
      </c>
      <c r="G169" s="178">
        <v>3756</v>
      </c>
      <c r="H169" s="178">
        <v>1694</v>
      </c>
      <c r="I169" s="178">
        <v>2062</v>
      </c>
    </row>
    <row r="170" spans="1:9">
      <c r="A170" s="179" t="s">
        <v>429</v>
      </c>
      <c r="B170" s="179" t="s">
        <v>517</v>
      </c>
      <c r="C170" s="186">
        <v>38668</v>
      </c>
      <c r="D170" s="188">
        <f t="shared" si="5"/>
        <v>2005</v>
      </c>
      <c r="E170" s="183" t="s">
        <v>530</v>
      </c>
      <c r="F170" s="178">
        <v>900</v>
      </c>
      <c r="G170" s="178">
        <v>18072</v>
      </c>
      <c r="H170" s="178">
        <v>7623</v>
      </c>
      <c r="I170" s="178">
        <v>10449</v>
      </c>
    </row>
    <row r="171" spans="1:9">
      <c r="A171" s="179" t="s">
        <v>528</v>
      </c>
      <c r="B171" s="179" t="s">
        <v>518</v>
      </c>
      <c r="C171" s="186">
        <v>38671</v>
      </c>
      <c r="D171" s="188">
        <f t="shared" si="5"/>
        <v>2005</v>
      </c>
      <c r="E171" s="183" t="s">
        <v>532</v>
      </c>
      <c r="F171" s="178">
        <v>1000</v>
      </c>
      <c r="G171" s="178">
        <v>23810</v>
      </c>
      <c r="H171" s="178">
        <v>10220</v>
      </c>
      <c r="I171" s="178">
        <v>13590</v>
      </c>
    </row>
    <row r="172" spans="1:9">
      <c r="A172" s="179" t="s">
        <v>528</v>
      </c>
      <c r="B172" s="179" t="s">
        <v>517</v>
      </c>
      <c r="C172" s="186">
        <v>38674</v>
      </c>
      <c r="D172" s="188">
        <f t="shared" si="5"/>
        <v>2005</v>
      </c>
      <c r="E172" s="183" t="s">
        <v>532</v>
      </c>
      <c r="F172" s="178">
        <v>900</v>
      </c>
      <c r="G172" s="178">
        <v>17883</v>
      </c>
      <c r="H172" s="178">
        <v>7623</v>
      </c>
      <c r="I172" s="178">
        <v>10260</v>
      </c>
    </row>
    <row r="173" spans="1:9">
      <c r="A173" s="179" t="s">
        <v>429</v>
      </c>
      <c r="B173" s="179" t="s">
        <v>517</v>
      </c>
      <c r="C173" s="186">
        <v>38675</v>
      </c>
      <c r="D173" s="188">
        <f t="shared" si="5"/>
        <v>2005</v>
      </c>
      <c r="E173" s="183" t="s">
        <v>529</v>
      </c>
      <c r="F173" s="178">
        <v>100</v>
      </c>
      <c r="G173" s="178">
        <v>1877</v>
      </c>
      <c r="H173" s="178">
        <v>847</v>
      </c>
      <c r="I173" s="178">
        <v>1030</v>
      </c>
    </row>
    <row r="174" spans="1:9">
      <c r="A174" s="179" t="s">
        <v>429</v>
      </c>
      <c r="B174" s="179" t="s">
        <v>517</v>
      </c>
      <c r="C174" s="186">
        <v>38675</v>
      </c>
      <c r="D174" s="188">
        <f t="shared" si="5"/>
        <v>2005</v>
      </c>
      <c r="E174" s="183" t="s">
        <v>529</v>
      </c>
      <c r="F174" s="178">
        <v>100</v>
      </c>
      <c r="G174" s="178">
        <v>1836</v>
      </c>
      <c r="H174" s="178">
        <v>847</v>
      </c>
      <c r="I174" s="178">
        <v>989</v>
      </c>
    </row>
    <row r="175" spans="1:9">
      <c r="A175" s="179" t="s">
        <v>528</v>
      </c>
      <c r="B175" s="179" t="s">
        <v>516</v>
      </c>
      <c r="C175" s="186">
        <v>38677</v>
      </c>
      <c r="D175" s="188">
        <f t="shared" si="5"/>
        <v>2005</v>
      </c>
      <c r="E175" s="183" t="s">
        <v>531</v>
      </c>
      <c r="F175" s="178">
        <v>500</v>
      </c>
      <c r="G175" s="178">
        <v>11250</v>
      </c>
      <c r="H175" s="178">
        <v>4920</v>
      </c>
      <c r="I175" s="178">
        <v>6330</v>
      </c>
    </row>
    <row r="176" spans="1:9">
      <c r="A176" s="179" t="s">
        <v>429</v>
      </c>
      <c r="B176" s="179" t="s">
        <v>518</v>
      </c>
      <c r="C176" s="186">
        <v>38682</v>
      </c>
      <c r="D176" s="188">
        <f t="shared" si="5"/>
        <v>2005</v>
      </c>
      <c r="E176" s="183" t="s">
        <v>523</v>
      </c>
      <c r="F176" s="178">
        <v>600</v>
      </c>
      <c r="G176" s="178">
        <v>12984</v>
      </c>
      <c r="H176" s="178">
        <v>6132</v>
      </c>
      <c r="I176" s="178">
        <v>6852</v>
      </c>
    </row>
    <row r="177" spans="1:9">
      <c r="A177" s="179" t="s">
        <v>429</v>
      </c>
      <c r="B177" s="179" t="s">
        <v>518</v>
      </c>
      <c r="C177" s="186">
        <v>38684</v>
      </c>
      <c r="D177" s="188">
        <f t="shared" si="5"/>
        <v>2005</v>
      </c>
      <c r="E177" s="183" t="s">
        <v>530</v>
      </c>
      <c r="F177" s="178">
        <v>800</v>
      </c>
      <c r="G177" s="178">
        <v>18208</v>
      </c>
      <c r="H177" s="178">
        <v>8176</v>
      </c>
      <c r="I177" s="178">
        <v>10032</v>
      </c>
    </row>
    <row r="178" spans="1:9">
      <c r="A178" s="179" t="s">
        <v>528</v>
      </c>
      <c r="B178" s="179" t="s">
        <v>516</v>
      </c>
      <c r="C178" s="186">
        <v>38687</v>
      </c>
      <c r="D178" s="188">
        <f t="shared" si="5"/>
        <v>2005</v>
      </c>
      <c r="E178" s="183" t="s">
        <v>529</v>
      </c>
      <c r="F178" s="178">
        <v>100</v>
      </c>
      <c r="G178" s="178">
        <v>2221</v>
      </c>
      <c r="H178" s="178">
        <v>984</v>
      </c>
      <c r="I178" s="178">
        <v>1237</v>
      </c>
    </row>
    <row r="179" spans="1:9">
      <c r="A179" s="179" t="s">
        <v>429</v>
      </c>
      <c r="B179" s="179" t="s">
        <v>517</v>
      </c>
      <c r="C179" s="186">
        <v>38688</v>
      </c>
      <c r="D179" s="188">
        <f t="shared" si="5"/>
        <v>2005</v>
      </c>
      <c r="E179" s="183" t="s">
        <v>531</v>
      </c>
      <c r="F179" s="178">
        <v>600</v>
      </c>
      <c r="G179" s="178">
        <v>12330</v>
      </c>
      <c r="H179" s="178">
        <v>5082</v>
      </c>
      <c r="I179" s="178">
        <v>7248</v>
      </c>
    </row>
    <row r="180" spans="1:9">
      <c r="A180" s="179" t="s">
        <v>528</v>
      </c>
      <c r="B180" s="179" t="s">
        <v>518</v>
      </c>
      <c r="C180" s="186">
        <v>38688</v>
      </c>
      <c r="D180" s="188">
        <f t="shared" si="5"/>
        <v>2005</v>
      </c>
      <c r="E180" s="183" t="s">
        <v>523</v>
      </c>
      <c r="F180" s="178">
        <v>900</v>
      </c>
      <c r="G180" s="178">
        <v>21960</v>
      </c>
      <c r="H180" s="178">
        <v>9198</v>
      </c>
      <c r="I180" s="178">
        <v>12762</v>
      </c>
    </row>
    <row r="181" spans="1:9">
      <c r="A181" s="179" t="s">
        <v>429</v>
      </c>
      <c r="B181" s="179" t="s">
        <v>516</v>
      </c>
      <c r="C181" s="186">
        <v>38690</v>
      </c>
      <c r="D181" s="188">
        <f t="shared" si="5"/>
        <v>2005</v>
      </c>
      <c r="E181" s="183" t="s">
        <v>529</v>
      </c>
      <c r="F181" s="178">
        <v>600</v>
      </c>
      <c r="G181" s="178">
        <v>13566</v>
      </c>
      <c r="H181" s="178">
        <v>5904</v>
      </c>
      <c r="I181" s="178">
        <v>7662</v>
      </c>
    </row>
    <row r="182" spans="1:9">
      <c r="A182" s="179" t="s">
        <v>528</v>
      </c>
      <c r="B182" s="179" t="s">
        <v>517</v>
      </c>
      <c r="C182" s="186">
        <v>38690</v>
      </c>
      <c r="D182" s="188">
        <f t="shared" si="5"/>
        <v>2005</v>
      </c>
      <c r="E182" s="183" t="s">
        <v>533</v>
      </c>
      <c r="F182" s="178">
        <v>900</v>
      </c>
      <c r="G182" s="178">
        <v>15363</v>
      </c>
      <c r="H182" s="178">
        <v>7623</v>
      </c>
      <c r="I182" s="178">
        <v>7740</v>
      </c>
    </row>
    <row r="183" spans="1:9">
      <c r="A183" s="179" t="s">
        <v>528</v>
      </c>
      <c r="B183" s="179" t="s">
        <v>518</v>
      </c>
      <c r="C183" s="186">
        <v>38690</v>
      </c>
      <c r="D183" s="188">
        <f t="shared" si="5"/>
        <v>2005</v>
      </c>
      <c r="E183" s="183" t="s">
        <v>532</v>
      </c>
      <c r="F183" s="178">
        <v>500</v>
      </c>
      <c r="G183" s="178">
        <v>12625</v>
      </c>
      <c r="H183" s="178">
        <v>5110</v>
      </c>
      <c r="I183" s="178">
        <v>7515</v>
      </c>
    </row>
    <row r="184" spans="1:9">
      <c r="A184" s="179" t="s">
        <v>528</v>
      </c>
      <c r="B184" s="179" t="s">
        <v>518</v>
      </c>
      <c r="C184" s="186">
        <v>38692</v>
      </c>
      <c r="D184" s="188">
        <f t="shared" si="5"/>
        <v>2005</v>
      </c>
      <c r="E184" s="183" t="s">
        <v>532</v>
      </c>
      <c r="F184" s="178">
        <v>900</v>
      </c>
      <c r="G184" s="178">
        <v>21888</v>
      </c>
      <c r="H184" s="178">
        <v>9198</v>
      </c>
      <c r="I184" s="178">
        <v>12690</v>
      </c>
    </row>
    <row r="185" spans="1:9">
      <c r="A185" s="179" t="s">
        <v>429</v>
      </c>
      <c r="B185" s="179" t="s">
        <v>518</v>
      </c>
      <c r="C185" s="186">
        <v>38692</v>
      </c>
      <c r="D185" s="188">
        <f t="shared" si="5"/>
        <v>2005</v>
      </c>
      <c r="E185" s="183" t="s">
        <v>532</v>
      </c>
      <c r="F185" s="178">
        <v>800</v>
      </c>
      <c r="G185" s="178">
        <v>19152</v>
      </c>
      <c r="H185" s="178">
        <v>8176</v>
      </c>
      <c r="I185" s="178">
        <v>10976</v>
      </c>
    </row>
    <row r="186" spans="1:9">
      <c r="A186" s="179" t="s">
        <v>528</v>
      </c>
      <c r="B186" s="179" t="s">
        <v>517</v>
      </c>
      <c r="C186" s="186">
        <v>38697</v>
      </c>
      <c r="D186" s="188">
        <f t="shared" si="5"/>
        <v>2005</v>
      </c>
      <c r="E186" s="183" t="s">
        <v>533</v>
      </c>
      <c r="F186" s="178">
        <v>1000</v>
      </c>
      <c r="G186" s="178">
        <v>17410</v>
      </c>
      <c r="H186" s="178">
        <v>8470</v>
      </c>
      <c r="I186" s="178">
        <v>8940</v>
      </c>
    </row>
    <row r="187" spans="1:9">
      <c r="A187" s="179" t="s">
        <v>528</v>
      </c>
      <c r="B187" s="179" t="s">
        <v>518</v>
      </c>
      <c r="C187" s="186">
        <v>38698</v>
      </c>
      <c r="D187" s="188">
        <f t="shared" si="5"/>
        <v>2005</v>
      </c>
      <c r="E187" s="183" t="s">
        <v>529</v>
      </c>
      <c r="F187" s="178">
        <v>1000</v>
      </c>
      <c r="G187" s="178">
        <v>23090</v>
      </c>
      <c r="H187" s="178">
        <v>10220</v>
      </c>
      <c r="I187" s="178">
        <v>12870</v>
      </c>
    </row>
    <row r="188" spans="1:9">
      <c r="A188" s="179" t="s">
        <v>423</v>
      </c>
      <c r="B188" s="179" t="s">
        <v>518</v>
      </c>
      <c r="C188" s="186">
        <v>38700</v>
      </c>
      <c r="D188" s="188">
        <f t="shared" si="5"/>
        <v>2005</v>
      </c>
      <c r="E188" s="183" t="s">
        <v>539</v>
      </c>
      <c r="F188" s="178">
        <v>200</v>
      </c>
      <c r="G188" s="178">
        <v>4846</v>
      </c>
      <c r="H188" s="178">
        <v>2044</v>
      </c>
      <c r="I188" s="178">
        <v>2802</v>
      </c>
    </row>
    <row r="189" spans="1:9">
      <c r="A189" s="179" t="s">
        <v>429</v>
      </c>
      <c r="B189" s="179" t="s">
        <v>518</v>
      </c>
      <c r="C189" s="186">
        <v>38705</v>
      </c>
      <c r="D189" s="188">
        <f t="shared" si="5"/>
        <v>2005</v>
      </c>
      <c r="E189" s="183" t="s">
        <v>529</v>
      </c>
      <c r="F189" s="178">
        <v>100</v>
      </c>
      <c r="G189" s="178">
        <v>2487</v>
      </c>
      <c r="H189" s="178">
        <v>1022</v>
      </c>
      <c r="I189" s="178">
        <v>1465</v>
      </c>
    </row>
    <row r="190" spans="1:9">
      <c r="A190" s="179" t="s">
        <v>528</v>
      </c>
      <c r="B190" s="179" t="s">
        <v>517</v>
      </c>
      <c r="C190" s="186">
        <v>38707</v>
      </c>
      <c r="D190" s="188">
        <f t="shared" si="5"/>
        <v>2005</v>
      </c>
      <c r="E190" s="183" t="s">
        <v>530</v>
      </c>
      <c r="F190" s="178">
        <v>800</v>
      </c>
      <c r="G190" s="178">
        <v>14136</v>
      </c>
      <c r="H190" s="178">
        <v>6776</v>
      </c>
      <c r="I190" s="178">
        <v>7360</v>
      </c>
    </row>
    <row r="191" spans="1:9">
      <c r="A191" s="179" t="s">
        <v>423</v>
      </c>
      <c r="B191" s="179" t="s">
        <v>517</v>
      </c>
      <c r="C191" s="186">
        <v>38707</v>
      </c>
      <c r="D191" s="188">
        <f t="shared" si="5"/>
        <v>2005</v>
      </c>
      <c r="E191" s="183" t="s">
        <v>542</v>
      </c>
      <c r="F191" s="178">
        <v>200</v>
      </c>
      <c r="G191" s="178">
        <v>4158</v>
      </c>
      <c r="H191" s="178">
        <v>1694</v>
      </c>
      <c r="I191" s="178">
        <v>2464</v>
      </c>
    </row>
    <row r="192" spans="1:9">
      <c r="A192" s="179" t="s">
        <v>429</v>
      </c>
      <c r="B192" s="179" t="s">
        <v>516</v>
      </c>
      <c r="C192" s="186">
        <v>38708</v>
      </c>
      <c r="D192" s="188">
        <f t="shared" si="5"/>
        <v>2005</v>
      </c>
      <c r="E192" s="183" t="s">
        <v>548</v>
      </c>
      <c r="F192" s="178">
        <v>700</v>
      </c>
      <c r="G192" s="178">
        <v>14497</v>
      </c>
      <c r="H192" s="178">
        <v>6888</v>
      </c>
      <c r="I192" s="178">
        <v>7609</v>
      </c>
    </row>
    <row r="193" spans="1:9">
      <c r="A193" s="179" t="s">
        <v>429</v>
      </c>
      <c r="B193" s="179" t="s">
        <v>516</v>
      </c>
      <c r="C193" s="186">
        <v>38712</v>
      </c>
      <c r="D193" s="188">
        <f t="shared" si="5"/>
        <v>2005</v>
      </c>
      <c r="E193" s="183" t="s">
        <v>529</v>
      </c>
      <c r="F193" s="178">
        <v>100</v>
      </c>
      <c r="G193" s="178">
        <v>2457</v>
      </c>
      <c r="H193" s="178">
        <v>984</v>
      </c>
      <c r="I193" s="178">
        <v>1473</v>
      </c>
    </row>
    <row r="194" spans="1:9">
      <c r="A194" s="179" t="s">
        <v>423</v>
      </c>
      <c r="B194" s="179" t="s">
        <v>517</v>
      </c>
      <c r="C194" s="186">
        <v>38712</v>
      </c>
      <c r="D194" s="188">
        <f t="shared" ref="D194:D257" si="6">YEAR(C194)</f>
        <v>2005</v>
      </c>
      <c r="E194" s="183" t="s">
        <v>529</v>
      </c>
      <c r="F194" s="178">
        <v>300</v>
      </c>
      <c r="G194" s="178">
        <v>5700</v>
      </c>
      <c r="H194" s="178">
        <v>2541</v>
      </c>
      <c r="I194" s="178">
        <v>3159</v>
      </c>
    </row>
    <row r="195" spans="1:9">
      <c r="A195" s="179" t="s">
        <v>423</v>
      </c>
      <c r="B195" s="179" t="s">
        <v>517</v>
      </c>
      <c r="C195" s="186">
        <v>38712</v>
      </c>
      <c r="D195" s="188">
        <f t="shared" si="6"/>
        <v>2005</v>
      </c>
      <c r="E195" s="183" t="s">
        <v>532</v>
      </c>
      <c r="F195" s="178">
        <v>400</v>
      </c>
      <c r="G195" s="178">
        <v>7376</v>
      </c>
      <c r="H195" s="178">
        <v>3388</v>
      </c>
      <c r="I195" s="178">
        <v>3988</v>
      </c>
    </row>
    <row r="196" spans="1:9">
      <c r="A196" s="179" t="s">
        <v>423</v>
      </c>
      <c r="B196" s="179" t="s">
        <v>516</v>
      </c>
      <c r="C196" s="186">
        <v>38714</v>
      </c>
      <c r="D196" s="188">
        <f t="shared" si="6"/>
        <v>2005</v>
      </c>
      <c r="E196" s="183" t="s">
        <v>534</v>
      </c>
      <c r="F196" s="178">
        <v>600</v>
      </c>
      <c r="G196" s="178">
        <v>12030</v>
      </c>
      <c r="H196" s="178">
        <v>5904</v>
      </c>
      <c r="I196" s="178">
        <v>6126</v>
      </c>
    </row>
    <row r="197" spans="1:9">
      <c r="A197" s="179" t="s">
        <v>429</v>
      </c>
      <c r="B197" s="179" t="s">
        <v>516</v>
      </c>
      <c r="C197" s="186">
        <v>38715</v>
      </c>
      <c r="D197" s="188">
        <f t="shared" si="6"/>
        <v>2005</v>
      </c>
      <c r="E197" s="183" t="s">
        <v>546</v>
      </c>
      <c r="F197" s="178">
        <v>100</v>
      </c>
      <c r="G197" s="178">
        <v>2358</v>
      </c>
      <c r="H197" s="178">
        <v>984</v>
      </c>
      <c r="I197" s="178">
        <v>1374</v>
      </c>
    </row>
    <row r="198" spans="1:9">
      <c r="A198" s="179" t="s">
        <v>429</v>
      </c>
      <c r="B198" s="179" t="s">
        <v>518</v>
      </c>
      <c r="C198" s="186">
        <v>38716</v>
      </c>
      <c r="D198" s="188">
        <f t="shared" si="6"/>
        <v>2005</v>
      </c>
      <c r="E198" s="183" t="s">
        <v>534</v>
      </c>
      <c r="F198" s="178">
        <v>700</v>
      </c>
      <c r="G198" s="178">
        <v>14469</v>
      </c>
      <c r="H198" s="178">
        <v>7154</v>
      </c>
      <c r="I198" s="178">
        <v>7315</v>
      </c>
    </row>
    <row r="199" spans="1:9">
      <c r="A199" s="179" t="s">
        <v>429</v>
      </c>
      <c r="B199" s="179" t="s">
        <v>517</v>
      </c>
      <c r="C199" s="186">
        <v>38721</v>
      </c>
      <c r="D199" s="188">
        <f t="shared" si="6"/>
        <v>2006</v>
      </c>
      <c r="E199" s="183" t="s">
        <v>531</v>
      </c>
      <c r="F199" s="178">
        <v>300</v>
      </c>
      <c r="G199" s="178">
        <v>5439</v>
      </c>
      <c r="H199" s="178">
        <v>2541</v>
      </c>
      <c r="I199" s="178">
        <v>2898</v>
      </c>
    </row>
    <row r="200" spans="1:9">
      <c r="A200" s="179" t="s">
        <v>429</v>
      </c>
      <c r="B200" s="179" t="s">
        <v>518</v>
      </c>
      <c r="C200" s="186">
        <v>38721</v>
      </c>
      <c r="D200" s="188">
        <f t="shared" si="6"/>
        <v>2006</v>
      </c>
      <c r="E200" s="183" t="s">
        <v>534</v>
      </c>
      <c r="F200" s="178">
        <v>400</v>
      </c>
      <c r="G200" s="178">
        <v>8560</v>
      </c>
      <c r="H200" s="178">
        <v>4088</v>
      </c>
      <c r="I200" s="178">
        <v>4472</v>
      </c>
    </row>
    <row r="201" spans="1:9">
      <c r="A201" s="179" t="s">
        <v>528</v>
      </c>
      <c r="B201" s="179" t="s">
        <v>517</v>
      </c>
      <c r="C201" s="186">
        <v>38725</v>
      </c>
      <c r="D201" s="188">
        <f t="shared" si="6"/>
        <v>2006</v>
      </c>
      <c r="E201" s="183" t="s">
        <v>530</v>
      </c>
      <c r="F201" s="178">
        <v>600</v>
      </c>
      <c r="G201" s="178">
        <v>10602</v>
      </c>
      <c r="H201" s="178">
        <v>5082</v>
      </c>
      <c r="I201" s="178">
        <v>5520</v>
      </c>
    </row>
    <row r="202" spans="1:9">
      <c r="A202" s="179" t="s">
        <v>528</v>
      </c>
      <c r="B202" s="179" t="s">
        <v>518</v>
      </c>
      <c r="C202" s="186">
        <v>38725</v>
      </c>
      <c r="D202" s="188">
        <f t="shared" si="6"/>
        <v>2006</v>
      </c>
      <c r="E202" s="183" t="s">
        <v>530</v>
      </c>
      <c r="F202" s="178">
        <v>300</v>
      </c>
      <c r="G202" s="178">
        <v>6789</v>
      </c>
      <c r="H202" s="178">
        <v>3066</v>
      </c>
      <c r="I202" s="178">
        <v>3723</v>
      </c>
    </row>
    <row r="203" spans="1:9">
      <c r="A203" s="179" t="s">
        <v>423</v>
      </c>
      <c r="B203" s="179" t="s">
        <v>518</v>
      </c>
      <c r="C203" s="186">
        <v>38729</v>
      </c>
      <c r="D203" s="188">
        <f t="shared" si="6"/>
        <v>2006</v>
      </c>
      <c r="E203" s="183" t="s">
        <v>541</v>
      </c>
      <c r="F203" s="178">
        <v>800</v>
      </c>
      <c r="G203" s="178">
        <v>19544</v>
      </c>
      <c r="H203" s="178">
        <v>8176</v>
      </c>
      <c r="I203" s="178">
        <v>11368</v>
      </c>
    </row>
    <row r="204" spans="1:9">
      <c r="A204" s="179" t="s">
        <v>423</v>
      </c>
      <c r="B204" s="179" t="s">
        <v>517</v>
      </c>
      <c r="C204" s="186">
        <v>38737</v>
      </c>
      <c r="D204" s="188">
        <f t="shared" si="6"/>
        <v>2006</v>
      </c>
      <c r="E204" s="183" t="s">
        <v>529</v>
      </c>
      <c r="F204" s="178">
        <v>200</v>
      </c>
      <c r="G204" s="178">
        <v>3856</v>
      </c>
      <c r="H204" s="178">
        <v>1694</v>
      </c>
      <c r="I204" s="178">
        <v>2162</v>
      </c>
    </row>
    <row r="205" spans="1:9">
      <c r="A205" s="179" t="s">
        <v>429</v>
      </c>
      <c r="B205" s="179" t="s">
        <v>518</v>
      </c>
      <c r="C205" s="186">
        <v>38738</v>
      </c>
      <c r="D205" s="188">
        <f t="shared" si="6"/>
        <v>2006</v>
      </c>
      <c r="E205" s="183" t="s">
        <v>523</v>
      </c>
      <c r="F205" s="178">
        <v>400</v>
      </c>
      <c r="G205" s="178">
        <v>8620</v>
      </c>
      <c r="H205" s="178">
        <v>4088</v>
      </c>
      <c r="I205" s="178">
        <v>4532</v>
      </c>
    </row>
    <row r="206" spans="1:9">
      <c r="A206" s="179" t="s">
        <v>423</v>
      </c>
      <c r="B206" s="179" t="s">
        <v>516</v>
      </c>
      <c r="C206" s="186">
        <v>38739</v>
      </c>
      <c r="D206" s="188">
        <f t="shared" si="6"/>
        <v>2006</v>
      </c>
      <c r="E206" s="183" t="s">
        <v>524</v>
      </c>
      <c r="F206" s="178">
        <v>600</v>
      </c>
      <c r="G206" s="178">
        <v>13866</v>
      </c>
      <c r="H206" s="178">
        <v>5904</v>
      </c>
      <c r="I206" s="178">
        <v>7962</v>
      </c>
    </row>
    <row r="207" spans="1:9">
      <c r="A207" s="179" t="s">
        <v>423</v>
      </c>
      <c r="B207" s="179" t="s">
        <v>516</v>
      </c>
      <c r="C207" s="186">
        <v>38739</v>
      </c>
      <c r="D207" s="188">
        <f t="shared" si="6"/>
        <v>2006</v>
      </c>
      <c r="E207" s="183" t="s">
        <v>524</v>
      </c>
      <c r="F207" s="178">
        <v>200</v>
      </c>
      <c r="G207" s="178">
        <v>4378</v>
      </c>
      <c r="H207" s="178">
        <v>1968</v>
      </c>
      <c r="I207" s="178">
        <v>2410</v>
      </c>
    </row>
    <row r="208" spans="1:9">
      <c r="A208" s="179" t="s">
        <v>429</v>
      </c>
      <c r="B208" s="179" t="s">
        <v>518</v>
      </c>
      <c r="C208" s="186">
        <v>38742</v>
      </c>
      <c r="D208" s="188">
        <f t="shared" si="6"/>
        <v>2006</v>
      </c>
      <c r="E208" s="183" t="s">
        <v>530</v>
      </c>
      <c r="F208" s="178">
        <v>800</v>
      </c>
      <c r="G208" s="178">
        <v>20008</v>
      </c>
      <c r="H208" s="178">
        <v>8176</v>
      </c>
      <c r="I208" s="178">
        <v>11832</v>
      </c>
    </row>
    <row r="209" spans="1:9">
      <c r="A209" s="179" t="s">
        <v>429</v>
      </c>
      <c r="B209" s="179" t="s">
        <v>516</v>
      </c>
      <c r="C209" s="186">
        <v>38743</v>
      </c>
      <c r="D209" s="188">
        <f t="shared" si="6"/>
        <v>2006</v>
      </c>
      <c r="E209" s="183" t="s">
        <v>529</v>
      </c>
      <c r="F209" s="178">
        <v>200</v>
      </c>
      <c r="G209" s="178">
        <v>4526</v>
      </c>
      <c r="H209" s="178">
        <v>1968</v>
      </c>
      <c r="I209" s="178">
        <v>2558</v>
      </c>
    </row>
    <row r="210" spans="1:9">
      <c r="A210" s="179" t="s">
        <v>528</v>
      </c>
      <c r="B210" s="179" t="s">
        <v>518</v>
      </c>
      <c r="C210" s="186">
        <v>38745</v>
      </c>
      <c r="D210" s="188">
        <f t="shared" si="6"/>
        <v>2006</v>
      </c>
      <c r="E210" s="183" t="s">
        <v>531</v>
      </c>
      <c r="F210" s="178">
        <v>900</v>
      </c>
      <c r="G210" s="178">
        <v>21762</v>
      </c>
      <c r="H210" s="178">
        <v>9198</v>
      </c>
      <c r="I210" s="178">
        <v>12564</v>
      </c>
    </row>
    <row r="211" spans="1:9">
      <c r="A211" s="179" t="s">
        <v>429</v>
      </c>
      <c r="B211" s="179" t="s">
        <v>516</v>
      </c>
      <c r="C211" s="186">
        <v>38746</v>
      </c>
      <c r="D211" s="188">
        <f t="shared" si="6"/>
        <v>2006</v>
      </c>
      <c r="E211" s="183" t="s">
        <v>532</v>
      </c>
      <c r="F211" s="178">
        <v>800</v>
      </c>
      <c r="G211" s="178">
        <v>19280</v>
      </c>
      <c r="H211" s="178">
        <v>7872</v>
      </c>
      <c r="I211" s="178">
        <v>11408</v>
      </c>
    </row>
    <row r="212" spans="1:9">
      <c r="A212" s="179" t="s">
        <v>528</v>
      </c>
      <c r="B212" s="179" t="s">
        <v>516</v>
      </c>
      <c r="C212" s="186">
        <v>38748</v>
      </c>
      <c r="D212" s="188">
        <f t="shared" si="6"/>
        <v>2006</v>
      </c>
      <c r="E212" s="183" t="s">
        <v>534</v>
      </c>
      <c r="F212" s="178">
        <v>500</v>
      </c>
      <c r="G212" s="178">
        <v>11545</v>
      </c>
      <c r="H212" s="178">
        <v>4920</v>
      </c>
      <c r="I212" s="178">
        <v>6625</v>
      </c>
    </row>
    <row r="213" spans="1:9">
      <c r="A213" s="179" t="s">
        <v>423</v>
      </c>
      <c r="B213" s="179" t="s">
        <v>518</v>
      </c>
      <c r="C213" s="186">
        <v>38750</v>
      </c>
      <c r="D213" s="188">
        <f t="shared" si="6"/>
        <v>2006</v>
      </c>
      <c r="E213" s="183" t="s">
        <v>537</v>
      </c>
      <c r="F213" s="178">
        <v>400</v>
      </c>
      <c r="G213" s="178">
        <v>9240</v>
      </c>
      <c r="H213" s="178">
        <v>4088</v>
      </c>
      <c r="I213" s="178">
        <v>5152</v>
      </c>
    </row>
    <row r="214" spans="1:9">
      <c r="A214" s="179" t="s">
        <v>528</v>
      </c>
      <c r="B214" s="179" t="s">
        <v>518</v>
      </c>
      <c r="C214" s="186">
        <v>38751</v>
      </c>
      <c r="D214" s="188">
        <f t="shared" si="6"/>
        <v>2006</v>
      </c>
      <c r="E214" s="183" t="s">
        <v>531</v>
      </c>
      <c r="F214" s="178">
        <v>100</v>
      </c>
      <c r="G214" s="178">
        <v>2149</v>
      </c>
      <c r="H214" s="178">
        <v>1022</v>
      </c>
      <c r="I214" s="178">
        <v>1127</v>
      </c>
    </row>
    <row r="215" spans="1:9">
      <c r="A215" s="179" t="s">
        <v>429</v>
      </c>
      <c r="B215" s="179" t="s">
        <v>516</v>
      </c>
      <c r="C215" s="186">
        <v>38751</v>
      </c>
      <c r="D215" s="188">
        <f t="shared" si="6"/>
        <v>2006</v>
      </c>
      <c r="E215" s="183" t="s">
        <v>531</v>
      </c>
      <c r="F215" s="178">
        <v>500</v>
      </c>
      <c r="G215" s="178">
        <v>12095</v>
      </c>
      <c r="H215" s="178">
        <v>4920</v>
      </c>
      <c r="I215" s="178">
        <v>7175</v>
      </c>
    </row>
    <row r="216" spans="1:9">
      <c r="A216" s="179" t="s">
        <v>528</v>
      </c>
      <c r="B216" s="179" t="s">
        <v>517</v>
      </c>
      <c r="C216" s="186">
        <v>38751</v>
      </c>
      <c r="D216" s="188">
        <f t="shared" si="6"/>
        <v>2006</v>
      </c>
      <c r="E216" s="183" t="s">
        <v>529</v>
      </c>
      <c r="F216" s="178">
        <v>900</v>
      </c>
      <c r="G216" s="178">
        <v>16209</v>
      </c>
      <c r="H216" s="178">
        <v>7623</v>
      </c>
      <c r="I216" s="178">
        <v>8586</v>
      </c>
    </row>
    <row r="217" spans="1:9">
      <c r="A217" s="179" t="s">
        <v>423</v>
      </c>
      <c r="B217" s="179" t="s">
        <v>518</v>
      </c>
      <c r="C217" s="186">
        <v>38751</v>
      </c>
      <c r="D217" s="188">
        <f t="shared" si="6"/>
        <v>2006</v>
      </c>
      <c r="E217" s="183" t="s">
        <v>546</v>
      </c>
      <c r="F217" s="178">
        <v>800</v>
      </c>
      <c r="G217" s="178">
        <v>17856</v>
      </c>
      <c r="H217" s="178">
        <v>8176</v>
      </c>
      <c r="I217" s="178">
        <v>9680</v>
      </c>
    </row>
    <row r="218" spans="1:9">
      <c r="A218" s="179" t="s">
        <v>528</v>
      </c>
      <c r="B218" s="179" t="s">
        <v>518</v>
      </c>
      <c r="C218" s="186">
        <v>38753</v>
      </c>
      <c r="D218" s="188">
        <f t="shared" si="6"/>
        <v>2006</v>
      </c>
      <c r="E218" s="183" t="s">
        <v>533</v>
      </c>
      <c r="F218" s="178">
        <v>900</v>
      </c>
      <c r="G218" s="178">
        <v>19584</v>
      </c>
      <c r="H218" s="178">
        <v>9198</v>
      </c>
      <c r="I218" s="178">
        <v>10386</v>
      </c>
    </row>
    <row r="219" spans="1:9">
      <c r="A219" s="179" t="s">
        <v>423</v>
      </c>
      <c r="B219" s="179" t="s">
        <v>516</v>
      </c>
      <c r="C219" s="186">
        <v>38757</v>
      </c>
      <c r="D219" s="188">
        <f t="shared" si="6"/>
        <v>2006</v>
      </c>
      <c r="E219" s="183" t="s">
        <v>533</v>
      </c>
      <c r="F219" s="178">
        <v>600</v>
      </c>
      <c r="G219" s="178">
        <v>13728</v>
      </c>
      <c r="H219" s="178">
        <v>5904</v>
      </c>
      <c r="I219" s="178">
        <v>7824</v>
      </c>
    </row>
    <row r="220" spans="1:9">
      <c r="A220" s="179" t="s">
        <v>429</v>
      </c>
      <c r="B220" s="179" t="s">
        <v>517</v>
      </c>
      <c r="C220" s="186">
        <v>38759</v>
      </c>
      <c r="D220" s="188">
        <f t="shared" si="6"/>
        <v>2006</v>
      </c>
      <c r="E220" s="183" t="s">
        <v>534</v>
      </c>
      <c r="F220" s="178">
        <v>100</v>
      </c>
      <c r="G220" s="178">
        <v>2028</v>
      </c>
      <c r="H220" s="178">
        <v>847</v>
      </c>
      <c r="I220" s="178">
        <v>1181</v>
      </c>
    </row>
    <row r="221" spans="1:9">
      <c r="A221" s="179" t="s">
        <v>528</v>
      </c>
      <c r="B221" s="179" t="s">
        <v>516</v>
      </c>
      <c r="C221" s="186">
        <v>38760</v>
      </c>
      <c r="D221" s="188">
        <f t="shared" si="6"/>
        <v>2006</v>
      </c>
      <c r="E221" s="183" t="s">
        <v>526</v>
      </c>
      <c r="F221" s="178">
        <v>1000</v>
      </c>
      <c r="G221" s="178">
        <v>20950</v>
      </c>
      <c r="H221" s="178">
        <v>9840</v>
      </c>
      <c r="I221" s="178">
        <v>11110</v>
      </c>
    </row>
    <row r="222" spans="1:9">
      <c r="A222" s="179" t="s">
        <v>528</v>
      </c>
      <c r="B222" s="179" t="s">
        <v>518</v>
      </c>
      <c r="C222" s="186">
        <v>38761</v>
      </c>
      <c r="D222" s="188">
        <f t="shared" si="6"/>
        <v>2006</v>
      </c>
      <c r="E222" s="183" t="s">
        <v>533</v>
      </c>
      <c r="F222" s="178">
        <v>1000</v>
      </c>
      <c r="G222" s="178">
        <v>22530</v>
      </c>
      <c r="H222" s="178">
        <v>10220</v>
      </c>
      <c r="I222" s="178">
        <v>12310</v>
      </c>
    </row>
    <row r="223" spans="1:9">
      <c r="A223" s="179" t="s">
        <v>429</v>
      </c>
      <c r="B223" s="179" t="s">
        <v>517</v>
      </c>
      <c r="C223" s="186">
        <v>38767</v>
      </c>
      <c r="D223" s="188">
        <f t="shared" si="6"/>
        <v>2006</v>
      </c>
      <c r="E223" s="183" t="s">
        <v>549</v>
      </c>
      <c r="F223" s="178">
        <v>400</v>
      </c>
      <c r="G223" s="178">
        <v>8116</v>
      </c>
      <c r="H223" s="178">
        <v>3388</v>
      </c>
      <c r="I223" s="178">
        <v>4728</v>
      </c>
    </row>
    <row r="224" spans="1:9">
      <c r="A224" s="179" t="s">
        <v>423</v>
      </c>
      <c r="B224" s="179" t="s">
        <v>517</v>
      </c>
      <c r="C224" s="186">
        <v>38767</v>
      </c>
      <c r="D224" s="188">
        <f t="shared" si="6"/>
        <v>2006</v>
      </c>
      <c r="E224" s="183" t="s">
        <v>533</v>
      </c>
      <c r="F224" s="178">
        <v>600</v>
      </c>
      <c r="G224" s="178">
        <v>12684</v>
      </c>
      <c r="H224" s="178">
        <v>5082</v>
      </c>
      <c r="I224" s="178">
        <v>7602</v>
      </c>
    </row>
    <row r="225" spans="1:9">
      <c r="A225" s="179" t="s">
        <v>528</v>
      </c>
      <c r="B225" s="179" t="s">
        <v>517</v>
      </c>
      <c r="C225" s="186">
        <v>38768</v>
      </c>
      <c r="D225" s="188">
        <f t="shared" si="6"/>
        <v>2006</v>
      </c>
      <c r="E225" s="183" t="s">
        <v>530</v>
      </c>
      <c r="F225" s="178">
        <v>900</v>
      </c>
      <c r="G225" s="178">
        <v>17505</v>
      </c>
      <c r="H225" s="178">
        <v>7623</v>
      </c>
      <c r="I225" s="178">
        <v>9882</v>
      </c>
    </row>
    <row r="226" spans="1:9">
      <c r="A226" s="179" t="s">
        <v>528</v>
      </c>
      <c r="B226" s="179" t="s">
        <v>517</v>
      </c>
      <c r="C226" s="186">
        <v>38770</v>
      </c>
      <c r="D226" s="188">
        <f t="shared" si="6"/>
        <v>2006</v>
      </c>
      <c r="E226" s="183" t="s">
        <v>531</v>
      </c>
      <c r="F226" s="178">
        <v>1000</v>
      </c>
      <c r="G226" s="178">
        <v>21120</v>
      </c>
      <c r="H226" s="178">
        <v>8470</v>
      </c>
      <c r="I226" s="178">
        <v>12650</v>
      </c>
    </row>
    <row r="227" spans="1:9">
      <c r="A227" s="179" t="s">
        <v>423</v>
      </c>
      <c r="B227" s="179" t="s">
        <v>516</v>
      </c>
      <c r="C227" s="186">
        <v>38773</v>
      </c>
      <c r="D227" s="188">
        <f t="shared" si="6"/>
        <v>2006</v>
      </c>
      <c r="E227" s="183" t="s">
        <v>531</v>
      </c>
      <c r="F227" s="178">
        <v>300</v>
      </c>
      <c r="G227" s="178">
        <v>6735</v>
      </c>
      <c r="H227" s="178">
        <v>2952</v>
      </c>
      <c r="I227" s="178">
        <v>3783</v>
      </c>
    </row>
    <row r="228" spans="1:9">
      <c r="A228" s="179" t="s">
        <v>528</v>
      </c>
      <c r="B228" s="179" t="s">
        <v>518</v>
      </c>
      <c r="C228" s="186">
        <v>38774</v>
      </c>
      <c r="D228" s="188">
        <f t="shared" si="6"/>
        <v>2006</v>
      </c>
      <c r="E228" s="183" t="s">
        <v>523</v>
      </c>
      <c r="F228" s="178">
        <v>400</v>
      </c>
      <c r="G228" s="178">
        <v>9204</v>
      </c>
      <c r="H228" s="178">
        <v>4088</v>
      </c>
      <c r="I228" s="178">
        <v>5116</v>
      </c>
    </row>
    <row r="229" spans="1:9">
      <c r="A229" s="179" t="s">
        <v>528</v>
      </c>
      <c r="B229" s="179" t="s">
        <v>516</v>
      </c>
      <c r="C229" s="186">
        <v>38777</v>
      </c>
      <c r="D229" s="188">
        <f t="shared" si="6"/>
        <v>2006</v>
      </c>
      <c r="E229" s="183" t="s">
        <v>533</v>
      </c>
      <c r="F229" s="178">
        <v>500</v>
      </c>
      <c r="G229" s="178">
        <v>12270</v>
      </c>
      <c r="H229" s="178">
        <v>4920</v>
      </c>
      <c r="I229" s="178">
        <v>7350</v>
      </c>
    </row>
    <row r="230" spans="1:9">
      <c r="A230" s="179" t="s">
        <v>528</v>
      </c>
      <c r="B230" s="179" t="s">
        <v>518</v>
      </c>
      <c r="C230" s="186">
        <v>38781</v>
      </c>
      <c r="D230" s="188">
        <f t="shared" si="6"/>
        <v>2006</v>
      </c>
      <c r="E230" s="183" t="s">
        <v>525</v>
      </c>
      <c r="F230" s="178">
        <v>200</v>
      </c>
      <c r="G230" s="178">
        <v>4440</v>
      </c>
      <c r="H230" s="178">
        <v>2044</v>
      </c>
      <c r="I230" s="178">
        <v>2396</v>
      </c>
    </row>
    <row r="231" spans="1:9">
      <c r="A231" s="179" t="s">
        <v>423</v>
      </c>
      <c r="B231" s="179" t="s">
        <v>516</v>
      </c>
      <c r="C231" s="186">
        <v>38784</v>
      </c>
      <c r="D231" s="188">
        <f t="shared" si="6"/>
        <v>2006</v>
      </c>
      <c r="E231" s="183" t="s">
        <v>533</v>
      </c>
      <c r="F231" s="178">
        <v>1000</v>
      </c>
      <c r="G231" s="178">
        <v>23690</v>
      </c>
      <c r="H231" s="178">
        <v>9840</v>
      </c>
      <c r="I231" s="178">
        <v>13850</v>
      </c>
    </row>
    <row r="232" spans="1:9">
      <c r="A232" s="179" t="s">
        <v>528</v>
      </c>
      <c r="B232" s="179" t="s">
        <v>517</v>
      </c>
      <c r="C232" s="186">
        <v>38787</v>
      </c>
      <c r="D232" s="188">
        <f t="shared" si="6"/>
        <v>2006</v>
      </c>
      <c r="E232" s="183" t="s">
        <v>532</v>
      </c>
      <c r="F232" s="178">
        <v>800</v>
      </c>
      <c r="G232" s="178">
        <v>16696</v>
      </c>
      <c r="H232" s="178">
        <v>6776</v>
      </c>
      <c r="I232" s="178">
        <v>9920</v>
      </c>
    </row>
    <row r="233" spans="1:9">
      <c r="A233" s="179" t="s">
        <v>528</v>
      </c>
      <c r="B233" s="179" t="s">
        <v>516</v>
      </c>
      <c r="C233" s="186">
        <v>38792</v>
      </c>
      <c r="D233" s="188">
        <f t="shared" si="6"/>
        <v>2006</v>
      </c>
      <c r="E233" s="183" t="s">
        <v>533</v>
      </c>
      <c r="F233" s="178">
        <v>100</v>
      </c>
      <c r="G233" s="178">
        <v>2004</v>
      </c>
      <c r="H233" s="178">
        <v>984</v>
      </c>
      <c r="I233" s="178">
        <v>1020</v>
      </c>
    </row>
    <row r="234" spans="1:9">
      <c r="A234" s="179" t="s">
        <v>429</v>
      </c>
      <c r="B234" s="179" t="s">
        <v>517</v>
      </c>
      <c r="C234" s="186">
        <v>38794</v>
      </c>
      <c r="D234" s="188">
        <f t="shared" si="6"/>
        <v>2006</v>
      </c>
      <c r="E234" s="183" t="s">
        <v>531</v>
      </c>
      <c r="F234" s="178">
        <v>300</v>
      </c>
      <c r="G234" s="178">
        <v>5904</v>
      </c>
      <c r="H234" s="178">
        <v>2541</v>
      </c>
      <c r="I234" s="178">
        <v>3363</v>
      </c>
    </row>
    <row r="235" spans="1:9">
      <c r="A235" s="179" t="s">
        <v>423</v>
      </c>
      <c r="B235" s="179" t="s">
        <v>517</v>
      </c>
      <c r="C235" s="186">
        <v>38795</v>
      </c>
      <c r="D235" s="188">
        <f t="shared" si="6"/>
        <v>2006</v>
      </c>
      <c r="E235" s="183" t="s">
        <v>549</v>
      </c>
      <c r="F235" s="178">
        <v>1000</v>
      </c>
      <c r="G235" s="178">
        <v>18290</v>
      </c>
      <c r="H235" s="178">
        <v>8470</v>
      </c>
      <c r="I235" s="178">
        <v>9820</v>
      </c>
    </row>
    <row r="236" spans="1:9">
      <c r="A236" s="179" t="s">
        <v>429</v>
      </c>
      <c r="B236" s="179" t="s">
        <v>518</v>
      </c>
      <c r="C236" s="186">
        <v>38798</v>
      </c>
      <c r="D236" s="188">
        <f t="shared" si="6"/>
        <v>2006</v>
      </c>
      <c r="E236" s="183" t="s">
        <v>537</v>
      </c>
      <c r="F236" s="178">
        <v>1000</v>
      </c>
      <c r="G236" s="178">
        <v>25350</v>
      </c>
      <c r="H236" s="178">
        <v>10220</v>
      </c>
      <c r="I236" s="178">
        <v>15130</v>
      </c>
    </row>
    <row r="237" spans="1:9">
      <c r="A237" s="179" t="s">
        <v>423</v>
      </c>
      <c r="B237" s="179" t="s">
        <v>518</v>
      </c>
      <c r="C237" s="186">
        <v>38802</v>
      </c>
      <c r="D237" s="188">
        <f t="shared" si="6"/>
        <v>2006</v>
      </c>
      <c r="E237" s="183" t="s">
        <v>523</v>
      </c>
      <c r="F237" s="178">
        <v>300</v>
      </c>
      <c r="G237" s="178">
        <v>7569</v>
      </c>
      <c r="H237" s="178">
        <v>3066</v>
      </c>
      <c r="I237" s="178">
        <v>4503</v>
      </c>
    </row>
    <row r="238" spans="1:9">
      <c r="A238" s="179" t="s">
        <v>429</v>
      </c>
      <c r="B238" s="179" t="s">
        <v>518</v>
      </c>
      <c r="C238" s="186">
        <v>38804</v>
      </c>
      <c r="D238" s="188">
        <f t="shared" si="6"/>
        <v>2006</v>
      </c>
      <c r="E238" s="183" t="s">
        <v>529</v>
      </c>
      <c r="F238" s="178">
        <v>500</v>
      </c>
      <c r="G238" s="178">
        <v>10380</v>
      </c>
      <c r="H238" s="178">
        <v>5110</v>
      </c>
      <c r="I238" s="178">
        <v>5270</v>
      </c>
    </row>
    <row r="239" spans="1:9">
      <c r="A239" s="179" t="s">
        <v>429</v>
      </c>
      <c r="B239" s="179" t="s">
        <v>516</v>
      </c>
      <c r="C239" s="186">
        <v>38805</v>
      </c>
      <c r="D239" s="188">
        <f t="shared" si="6"/>
        <v>2006</v>
      </c>
      <c r="E239" s="183" t="s">
        <v>523</v>
      </c>
      <c r="F239" s="178">
        <v>700</v>
      </c>
      <c r="G239" s="178">
        <v>13797</v>
      </c>
      <c r="H239" s="178">
        <v>6888</v>
      </c>
      <c r="I239" s="178">
        <v>6909</v>
      </c>
    </row>
    <row r="240" spans="1:9">
      <c r="A240" s="179" t="s">
        <v>423</v>
      </c>
      <c r="B240" s="179" t="s">
        <v>518</v>
      </c>
      <c r="C240" s="186">
        <v>38807</v>
      </c>
      <c r="D240" s="188">
        <f t="shared" si="6"/>
        <v>2006</v>
      </c>
      <c r="E240" s="183" t="s">
        <v>534</v>
      </c>
      <c r="F240" s="178">
        <v>300</v>
      </c>
      <c r="G240" s="178">
        <v>7305</v>
      </c>
      <c r="H240" s="178">
        <v>3066</v>
      </c>
      <c r="I240" s="178">
        <v>4239</v>
      </c>
    </row>
    <row r="241" spans="1:9">
      <c r="A241" s="179" t="s">
        <v>429</v>
      </c>
      <c r="B241" s="179" t="s">
        <v>517</v>
      </c>
      <c r="C241" s="186">
        <v>38808</v>
      </c>
      <c r="D241" s="188">
        <f t="shared" si="6"/>
        <v>2006</v>
      </c>
      <c r="E241" s="183" t="s">
        <v>526</v>
      </c>
      <c r="F241" s="178">
        <v>500</v>
      </c>
      <c r="G241" s="178">
        <v>9635</v>
      </c>
      <c r="H241" s="178">
        <v>4235</v>
      </c>
      <c r="I241" s="178">
        <v>5400</v>
      </c>
    </row>
    <row r="242" spans="1:9">
      <c r="A242" s="179" t="s">
        <v>423</v>
      </c>
      <c r="B242" s="179" t="s">
        <v>518</v>
      </c>
      <c r="C242" s="186">
        <v>38810</v>
      </c>
      <c r="D242" s="188">
        <f t="shared" si="6"/>
        <v>2006</v>
      </c>
      <c r="E242" s="183" t="s">
        <v>529</v>
      </c>
      <c r="F242" s="178">
        <v>500</v>
      </c>
      <c r="G242" s="178">
        <v>12755</v>
      </c>
      <c r="H242" s="178">
        <v>5110</v>
      </c>
      <c r="I242" s="178">
        <v>7645</v>
      </c>
    </row>
    <row r="243" spans="1:9">
      <c r="A243" s="179" t="s">
        <v>423</v>
      </c>
      <c r="B243" s="179" t="s">
        <v>517</v>
      </c>
      <c r="C243" s="186">
        <v>38810</v>
      </c>
      <c r="D243" s="188">
        <f t="shared" si="6"/>
        <v>2006</v>
      </c>
      <c r="E243" s="183" t="s">
        <v>533</v>
      </c>
      <c r="F243" s="178">
        <v>500</v>
      </c>
      <c r="G243" s="178">
        <v>9855</v>
      </c>
      <c r="H243" s="178">
        <v>4235</v>
      </c>
      <c r="I243" s="178">
        <v>5620</v>
      </c>
    </row>
    <row r="244" spans="1:9">
      <c r="A244" s="179" t="s">
        <v>423</v>
      </c>
      <c r="B244" s="179" t="s">
        <v>517</v>
      </c>
      <c r="C244" s="186">
        <v>38814</v>
      </c>
      <c r="D244" s="188">
        <f t="shared" si="6"/>
        <v>2006</v>
      </c>
      <c r="E244" s="183" t="s">
        <v>532</v>
      </c>
      <c r="F244" s="178">
        <v>400</v>
      </c>
      <c r="G244" s="178">
        <v>6880</v>
      </c>
      <c r="H244" s="178">
        <v>3388</v>
      </c>
      <c r="I244" s="178">
        <v>3492</v>
      </c>
    </row>
    <row r="245" spans="1:9">
      <c r="A245" s="179" t="s">
        <v>528</v>
      </c>
      <c r="B245" s="179" t="s">
        <v>518</v>
      </c>
      <c r="C245" s="186">
        <v>38815</v>
      </c>
      <c r="D245" s="188">
        <f t="shared" si="6"/>
        <v>2006</v>
      </c>
      <c r="E245" s="183" t="s">
        <v>530</v>
      </c>
      <c r="F245" s="178">
        <v>900</v>
      </c>
      <c r="G245" s="178">
        <v>18783</v>
      </c>
      <c r="H245" s="178">
        <v>9198</v>
      </c>
      <c r="I245" s="178">
        <v>9585</v>
      </c>
    </row>
    <row r="246" spans="1:9">
      <c r="A246" s="179" t="s">
        <v>528</v>
      </c>
      <c r="B246" s="179" t="s">
        <v>518</v>
      </c>
      <c r="C246" s="186">
        <v>38815</v>
      </c>
      <c r="D246" s="188">
        <f t="shared" si="6"/>
        <v>2006</v>
      </c>
      <c r="E246" s="183" t="s">
        <v>529</v>
      </c>
      <c r="F246" s="178">
        <v>200</v>
      </c>
      <c r="G246" s="178">
        <v>4550</v>
      </c>
      <c r="H246" s="178">
        <v>2044</v>
      </c>
      <c r="I246" s="178">
        <v>2506</v>
      </c>
    </row>
    <row r="247" spans="1:9">
      <c r="A247" s="179" t="s">
        <v>429</v>
      </c>
      <c r="B247" s="179" t="s">
        <v>516</v>
      </c>
      <c r="C247" s="186">
        <v>38816</v>
      </c>
      <c r="D247" s="188">
        <f t="shared" si="6"/>
        <v>2006</v>
      </c>
      <c r="E247" s="183" t="s">
        <v>534</v>
      </c>
      <c r="F247" s="178">
        <v>500</v>
      </c>
      <c r="G247" s="178">
        <v>11695</v>
      </c>
      <c r="H247" s="178">
        <v>4920</v>
      </c>
      <c r="I247" s="178">
        <v>6775</v>
      </c>
    </row>
    <row r="248" spans="1:9">
      <c r="A248" s="179" t="s">
        <v>429</v>
      </c>
      <c r="B248" s="179" t="s">
        <v>516</v>
      </c>
      <c r="C248" s="186">
        <v>38817</v>
      </c>
      <c r="D248" s="188">
        <f t="shared" si="6"/>
        <v>2006</v>
      </c>
      <c r="E248" s="183" t="s">
        <v>532</v>
      </c>
      <c r="F248" s="178">
        <v>700</v>
      </c>
      <c r="G248" s="178">
        <v>14784</v>
      </c>
      <c r="H248" s="178">
        <v>6888</v>
      </c>
      <c r="I248" s="178">
        <v>7896</v>
      </c>
    </row>
    <row r="249" spans="1:9">
      <c r="A249" s="179" t="s">
        <v>528</v>
      </c>
      <c r="B249" s="179" t="s">
        <v>516</v>
      </c>
      <c r="C249" s="186">
        <v>38820</v>
      </c>
      <c r="D249" s="188">
        <f t="shared" si="6"/>
        <v>2006</v>
      </c>
      <c r="E249" s="183" t="s">
        <v>529</v>
      </c>
      <c r="F249" s="178">
        <v>800</v>
      </c>
      <c r="G249" s="178">
        <v>16264</v>
      </c>
      <c r="H249" s="178">
        <v>7872</v>
      </c>
      <c r="I249" s="178">
        <v>8392</v>
      </c>
    </row>
    <row r="250" spans="1:9">
      <c r="A250" s="179" t="s">
        <v>423</v>
      </c>
      <c r="B250" s="179" t="s">
        <v>516</v>
      </c>
      <c r="C250" s="186">
        <v>38827</v>
      </c>
      <c r="D250" s="188">
        <f t="shared" si="6"/>
        <v>2006</v>
      </c>
      <c r="E250" s="183" t="s">
        <v>532</v>
      </c>
      <c r="F250" s="178">
        <v>1000</v>
      </c>
      <c r="G250" s="178">
        <v>23820</v>
      </c>
      <c r="H250" s="178">
        <v>9840</v>
      </c>
      <c r="I250" s="178">
        <v>13980</v>
      </c>
    </row>
    <row r="251" spans="1:9">
      <c r="A251" s="179" t="s">
        <v>429</v>
      </c>
      <c r="B251" s="179" t="s">
        <v>516</v>
      </c>
      <c r="C251" s="186">
        <v>38830</v>
      </c>
      <c r="D251" s="188">
        <f t="shared" si="6"/>
        <v>2006</v>
      </c>
      <c r="E251" s="183" t="s">
        <v>527</v>
      </c>
      <c r="F251" s="178">
        <v>600</v>
      </c>
      <c r="G251" s="178">
        <v>14004</v>
      </c>
      <c r="H251" s="178">
        <v>5904</v>
      </c>
      <c r="I251" s="178">
        <v>8100</v>
      </c>
    </row>
    <row r="252" spans="1:9">
      <c r="A252" s="179" t="s">
        <v>528</v>
      </c>
      <c r="B252" s="179" t="s">
        <v>518</v>
      </c>
      <c r="C252" s="186">
        <v>38830</v>
      </c>
      <c r="D252" s="188">
        <f t="shared" si="6"/>
        <v>2006</v>
      </c>
      <c r="E252" s="183" t="s">
        <v>535</v>
      </c>
      <c r="F252" s="178">
        <v>400</v>
      </c>
      <c r="G252" s="178">
        <v>9064</v>
      </c>
      <c r="H252" s="178">
        <v>4088</v>
      </c>
      <c r="I252" s="178">
        <v>4976</v>
      </c>
    </row>
    <row r="253" spans="1:9">
      <c r="A253" s="179" t="s">
        <v>528</v>
      </c>
      <c r="B253" s="179" t="s">
        <v>518</v>
      </c>
      <c r="C253" s="186">
        <v>38830</v>
      </c>
      <c r="D253" s="188">
        <f t="shared" si="6"/>
        <v>2006</v>
      </c>
      <c r="E253" s="183" t="s">
        <v>534</v>
      </c>
      <c r="F253" s="178">
        <v>500</v>
      </c>
      <c r="G253" s="178">
        <v>12135</v>
      </c>
      <c r="H253" s="178">
        <v>5110</v>
      </c>
      <c r="I253" s="178">
        <v>7025</v>
      </c>
    </row>
    <row r="254" spans="1:9">
      <c r="A254" s="179" t="s">
        <v>429</v>
      </c>
      <c r="B254" s="179" t="s">
        <v>518</v>
      </c>
      <c r="C254" s="186">
        <v>38832</v>
      </c>
      <c r="D254" s="188">
        <f t="shared" si="6"/>
        <v>2006</v>
      </c>
      <c r="E254" s="183" t="s">
        <v>537</v>
      </c>
      <c r="F254" s="178">
        <v>900</v>
      </c>
      <c r="G254" s="178">
        <v>18756</v>
      </c>
      <c r="H254" s="178">
        <v>9198</v>
      </c>
      <c r="I254" s="178">
        <v>9558</v>
      </c>
    </row>
    <row r="255" spans="1:9">
      <c r="A255" s="179" t="s">
        <v>423</v>
      </c>
      <c r="B255" s="179" t="s">
        <v>518</v>
      </c>
      <c r="C255" s="186">
        <v>38833</v>
      </c>
      <c r="D255" s="188">
        <f t="shared" si="6"/>
        <v>2006</v>
      </c>
      <c r="E255" s="183" t="s">
        <v>531</v>
      </c>
      <c r="F255" s="178">
        <v>200</v>
      </c>
      <c r="G255" s="178">
        <v>5002</v>
      </c>
      <c r="H255" s="178">
        <v>2044</v>
      </c>
      <c r="I255" s="178">
        <v>2958</v>
      </c>
    </row>
    <row r="256" spans="1:9">
      <c r="A256" s="179" t="s">
        <v>423</v>
      </c>
      <c r="B256" s="179" t="s">
        <v>516</v>
      </c>
      <c r="C256" s="186">
        <v>38834</v>
      </c>
      <c r="D256" s="188">
        <f t="shared" si="6"/>
        <v>2006</v>
      </c>
      <c r="E256" s="183" t="s">
        <v>530</v>
      </c>
      <c r="F256" s="178">
        <v>800</v>
      </c>
      <c r="G256" s="178">
        <v>15856</v>
      </c>
      <c r="H256" s="178">
        <v>7872</v>
      </c>
      <c r="I256" s="178">
        <v>7984</v>
      </c>
    </row>
    <row r="257" spans="1:9">
      <c r="A257" s="179" t="s">
        <v>429</v>
      </c>
      <c r="B257" s="179" t="s">
        <v>517</v>
      </c>
      <c r="C257" s="186">
        <v>38834</v>
      </c>
      <c r="D257" s="188">
        <f t="shared" si="6"/>
        <v>2006</v>
      </c>
      <c r="E257" s="183" t="s">
        <v>544</v>
      </c>
      <c r="F257" s="178">
        <v>400</v>
      </c>
      <c r="G257" s="178">
        <v>7136</v>
      </c>
      <c r="H257" s="178">
        <v>3388</v>
      </c>
      <c r="I257" s="178">
        <v>3748</v>
      </c>
    </row>
    <row r="258" spans="1:9">
      <c r="A258" s="179" t="s">
        <v>429</v>
      </c>
      <c r="B258" s="179" t="s">
        <v>516</v>
      </c>
      <c r="C258" s="186">
        <v>38835</v>
      </c>
      <c r="D258" s="188">
        <f t="shared" ref="D258:D321" si="7">YEAR(C258)</f>
        <v>2006</v>
      </c>
      <c r="E258" s="183" t="s">
        <v>525</v>
      </c>
      <c r="F258" s="178">
        <v>600</v>
      </c>
      <c r="G258" s="178">
        <v>14154</v>
      </c>
      <c r="H258" s="178">
        <v>5904</v>
      </c>
      <c r="I258" s="178">
        <v>8250</v>
      </c>
    </row>
    <row r="259" spans="1:9">
      <c r="A259" s="179" t="s">
        <v>528</v>
      </c>
      <c r="B259" s="179" t="s">
        <v>517</v>
      </c>
      <c r="C259" s="186">
        <v>38837</v>
      </c>
      <c r="D259" s="188">
        <f t="shared" si="7"/>
        <v>2006</v>
      </c>
      <c r="E259" s="183" t="s">
        <v>530</v>
      </c>
      <c r="F259" s="178">
        <v>1000</v>
      </c>
      <c r="G259" s="178">
        <v>20770</v>
      </c>
      <c r="H259" s="178">
        <v>8470</v>
      </c>
      <c r="I259" s="178">
        <v>12300</v>
      </c>
    </row>
    <row r="260" spans="1:9">
      <c r="A260" s="179" t="s">
        <v>429</v>
      </c>
      <c r="B260" s="179" t="s">
        <v>518</v>
      </c>
      <c r="C260" s="186">
        <v>38842</v>
      </c>
      <c r="D260" s="188">
        <f t="shared" si="7"/>
        <v>2006</v>
      </c>
      <c r="E260" s="183" t="s">
        <v>525</v>
      </c>
      <c r="F260" s="178">
        <v>900</v>
      </c>
      <c r="G260" s="178">
        <v>21042</v>
      </c>
      <c r="H260" s="178">
        <v>9198</v>
      </c>
      <c r="I260" s="178">
        <v>11844</v>
      </c>
    </row>
    <row r="261" spans="1:9">
      <c r="A261" s="179" t="s">
        <v>423</v>
      </c>
      <c r="B261" s="179" t="s">
        <v>516</v>
      </c>
      <c r="C261" s="186">
        <v>38844</v>
      </c>
      <c r="D261" s="188">
        <f t="shared" si="7"/>
        <v>2006</v>
      </c>
      <c r="E261" s="183" t="s">
        <v>524</v>
      </c>
      <c r="F261" s="178">
        <v>100</v>
      </c>
      <c r="G261" s="178">
        <v>2042</v>
      </c>
      <c r="H261" s="178">
        <v>984</v>
      </c>
      <c r="I261" s="178">
        <v>1058</v>
      </c>
    </row>
    <row r="262" spans="1:9">
      <c r="A262" s="179" t="s">
        <v>429</v>
      </c>
      <c r="B262" s="179" t="s">
        <v>518</v>
      </c>
      <c r="C262" s="186">
        <v>38848</v>
      </c>
      <c r="D262" s="188">
        <f t="shared" si="7"/>
        <v>2006</v>
      </c>
      <c r="E262" s="183" t="s">
        <v>525</v>
      </c>
      <c r="F262" s="178">
        <v>900</v>
      </c>
      <c r="G262" s="178">
        <v>19062</v>
      </c>
      <c r="H262" s="178">
        <v>9198</v>
      </c>
      <c r="I262" s="178">
        <v>9864</v>
      </c>
    </row>
    <row r="263" spans="1:9">
      <c r="A263" s="179" t="s">
        <v>429</v>
      </c>
      <c r="B263" s="179" t="s">
        <v>518</v>
      </c>
      <c r="C263" s="186">
        <v>38853</v>
      </c>
      <c r="D263" s="188">
        <f t="shared" si="7"/>
        <v>2006</v>
      </c>
      <c r="E263" s="183" t="s">
        <v>534</v>
      </c>
      <c r="F263" s="178">
        <v>400</v>
      </c>
      <c r="G263" s="178">
        <v>9816</v>
      </c>
      <c r="H263" s="178">
        <v>4088</v>
      </c>
      <c r="I263" s="178">
        <v>5728</v>
      </c>
    </row>
    <row r="264" spans="1:9">
      <c r="A264" s="179" t="s">
        <v>528</v>
      </c>
      <c r="B264" s="179" t="s">
        <v>516</v>
      </c>
      <c r="C264" s="186">
        <v>38856</v>
      </c>
      <c r="D264" s="188">
        <f t="shared" si="7"/>
        <v>2006</v>
      </c>
      <c r="E264" s="183" t="s">
        <v>537</v>
      </c>
      <c r="F264" s="178">
        <v>900</v>
      </c>
      <c r="G264" s="178">
        <v>21033</v>
      </c>
      <c r="H264" s="178">
        <v>8856</v>
      </c>
      <c r="I264" s="178">
        <v>12177</v>
      </c>
    </row>
    <row r="265" spans="1:9">
      <c r="A265" s="179" t="s">
        <v>429</v>
      </c>
      <c r="B265" s="179" t="s">
        <v>518</v>
      </c>
      <c r="C265" s="186">
        <v>38858</v>
      </c>
      <c r="D265" s="188">
        <f t="shared" si="7"/>
        <v>2006</v>
      </c>
      <c r="E265" s="183" t="s">
        <v>529</v>
      </c>
      <c r="F265" s="178">
        <v>400</v>
      </c>
      <c r="G265" s="178">
        <v>9156</v>
      </c>
      <c r="H265" s="178">
        <v>4088</v>
      </c>
      <c r="I265" s="178">
        <v>5068</v>
      </c>
    </row>
    <row r="266" spans="1:9">
      <c r="A266" s="179" t="s">
        <v>429</v>
      </c>
      <c r="B266" s="179" t="s">
        <v>517</v>
      </c>
      <c r="C266" s="186">
        <v>38858</v>
      </c>
      <c r="D266" s="188">
        <f t="shared" si="7"/>
        <v>2006</v>
      </c>
      <c r="E266" s="183" t="s">
        <v>523</v>
      </c>
      <c r="F266" s="178">
        <v>700</v>
      </c>
      <c r="G266" s="178">
        <v>13874</v>
      </c>
      <c r="H266" s="178">
        <v>5929</v>
      </c>
      <c r="I266" s="178">
        <v>7945</v>
      </c>
    </row>
    <row r="267" spans="1:9">
      <c r="A267" s="179" t="s">
        <v>429</v>
      </c>
      <c r="B267" s="179" t="s">
        <v>516</v>
      </c>
      <c r="C267" s="186">
        <v>38860</v>
      </c>
      <c r="D267" s="188">
        <f t="shared" si="7"/>
        <v>2006</v>
      </c>
      <c r="E267" s="183" t="s">
        <v>529</v>
      </c>
      <c r="F267" s="178">
        <v>200</v>
      </c>
      <c r="G267" s="178">
        <v>4474</v>
      </c>
      <c r="H267" s="178">
        <v>1968</v>
      </c>
      <c r="I267" s="178">
        <v>2506</v>
      </c>
    </row>
    <row r="268" spans="1:9">
      <c r="A268" s="179" t="s">
        <v>429</v>
      </c>
      <c r="B268" s="179" t="s">
        <v>517</v>
      </c>
      <c r="C268" s="186">
        <v>38861</v>
      </c>
      <c r="D268" s="188">
        <f t="shared" si="7"/>
        <v>2006</v>
      </c>
      <c r="E268" s="183" t="s">
        <v>537</v>
      </c>
      <c r="F268" s="178">
        <v>400</v>
      </c>
      <c r="G268" s="178">
        <v>7152</v>
      </c>
      <c r="H268" s="178">
        <v>3388</v>
      </c>
      <c r="I268" s="178">
        <v>3764</v>
      </c>
    </row>
    <row r="269" spans="1:9">
      <c r="A269" s="179" t="s">
        <v>528</v>
      </c>
      <c r="B269" s="179" t="s">
        <v>517</v>
      </c>
      <c r="C269" s="186">
        <v>38861</v>
      </c>
      <c r="D269" s="188">
        <f t="shared" si="7"/>
        <v>2006</v>
      </c>
      <c r="E269" s="183" t="s">
        <v>531</v>
      </c>
      <c r="F269" s="178">
        <v>600</v>
      </c>
      <c r="G269" s="178">
        <v>11964</v>
      </c>
      <c r="H269" s="178">
        <v>5082</v>
      </c>
      <c r="I269" s="178">
        <v>6882</v>
      </c>
    </row>
    <row r="270" spans="1:9">
      <c r="A270" s="179" t="s">
        <v>423</v>
      </c>
      <c r="B270" s="179" t="s">
        <v>517</v>
      </c>
      <c r="C270" s="186">
        <v>38862</v>
      </c>
      <c r="D270" s="188">
        <f t="shared" si="7"/>
        <v>2006</v>
      </c>
      <c r="E270" s="183" t="s">
        <v>531</v>
      </c>
      <c r="F270" s="178">
        <v>1000</v>
      </c>
      <c r="G270" s="178">
        <v>18530</v>
      </c>
      <c r="H270" s="178">
        <v>8470</v>
      </c>
      <c r="I270" s="178">
        <v>10060</v>
      </c>
    </row>
    <row r="271" spans="1:9">
      <c r="A271" s="179" t="s">
        <v>429</v>
      </c>
      <c r="B271" s="179" t="s">
        <v>518</v>
      </c>
      <c r="C271" s="186">
        <v>38865</v>
      </c>
      <c r="D271" s="188">
        <f t="shared" si="7"/>
        <v>2006</v>
      </c>
      <c r="E271" s="183" t="s">
        <v>524</v>
      </c>
      <c r="F271" s="178">
        <v>600</v>
      </c>
      <c r="G271" s="178">
        <v>13290</v>
      </c>
      <c r="H271" s="178">
        <v>6132</v>
      </c>
      <c r="I271" s="178">
        <v>7158</v>
      </c>
    </row>
    <row r="272" spans="1:9">
      <c r="A272" s="179" t="s">
        <v>429</v>
      </c>
      <c r="B272" s="179" t="s">
        <v>516</v>
      </c>
      <c r="C272" s="186">
        <v>38868</v>
      </c>
      <c r="D272" s="188">
        <f t="shared" si="7"/>
        <v>2006</v>
      </c>
      <c r="E272" s="183" t="s">
        <v>530</v>
      </c>
      <c r="F272" s="178">
        <v>800</v>
      </c>
      <c r="G272" s="178">
        <v>17136</v>
      </c>
      <c r="H272" s="178">
        <v>7872</v>
      </c>
      <c r="I272" s="178">
        <v>9264</v>
      </c>
    </row>
    <row r="273" spans="1:9">
      <c r="A273" s="179" t="s">
        <v>528</v>
      </c>
      <c r="B273" s="179" t="s">
        <v>516</v>
      </c>
      <c r="C273" s="186">
        <v>38870</v>
      </c>
      <c r="D273" s="188">
        <f t="shared" si="7"/>
        <v>2006</v>
      </c>
      <c r="E273" s="183" t="s">
        <v>533</v>
      </c>
      <c r="F273" s="178">
        <v>200</v>
      </c>
      <c r="G273" s="178">
        <v>4492</v>
      </c>
      <c r="H273" s="178">
        <v>1968</v>
      </c>
      <c r="I273" s="178">
        <v>2524</v>
      </c>
    </row>
    <row r="274" spans="1:9">
      <c r="A274" s="179" t="s">
        <v>429</v>
      </c>
      <c r="B274" s="179" t="s">
        <v>517</v>
      </c>
      <c r="C274" s="186">
        <v>38872</v>
      </c>
      <c r="D274" s="188">
        <f t="shared" si="7"/>
        <v>2006</v>
      </c>
      <c r="E274" s="183" t="s">
        <v>537</v>
      </c>
      <c r="F274" s="178">
        <v>800</v>
      </c>
      <c r="G274" s="178">
        <v>14984</v>
      </c>
      <c r="H274" s="178">
        <v>6776</v>
      </c>
      <c r="I274" s="178">
        <v>8208</v>
      </c>
    </row>
    <row r="275" spans="1:9">
      <c r="A275" s="179" t="s">
        <v>429</v>
      </c>
      <c r="B275" s="179" t="s">
        <v>517</v>
      </c>
      <c r="C275" s="186">
        <v>38873</v>
      </c>
      <c r="D275" s="188">
        <f t="shared" si="7"/>
        <v>2006</v>
      </c>
      <c r="E275" s="183" t="s">
        <v>537</v>
      </c>
      <c r="F275" s="178">
        <v>900</v>
      </c>
      <c r="G275" s="178">
        <v>18576</v>
      </c>
      <c r="H275" s="178">
        <v>7623</v>
      </c>
      <c r="I275" s="178">
        <v>10953</v>
      </c>
    </row>
    <row r="276" spans="1:9">
      <c r="A276" s="179" t="s">
        <v>528</v>
      </c>
      <c r="B276" s="179" t="s">
        <v>516</v>
      </c>
      <c r="C276" s="186">
        <v>38873</v>
      </c>
      <c r="D276" s="188">
        <f t="shared" si="7"/>
        <v>2006</v>
      </c>
      <c r="E276" s="183" t="s">
        <v>542</v>
      </c>
      <c r="F276" s="178">
        <v>500</v>
      </c>
      <c r="G276" s="178">
        <v>11220</v>
      </c>
      <c r="H276" s="178">
        <v>4920</v>
      </c>
      <c r="I276" s="178">
        <v>6300</v>
      </c>
    </row>
    <row r="277" spans="1:9">
      <c r="A277" s="179" t="s">
        <v>429</v>
      </c>
      <c r="B277" s="179" t="s">
        <v>518</v>
      </c>
      <c r="C277" s="186">
        <v>38873</v>
      </c>
      <c r="D277" s="188">
        <f t="shared" si="7"/>
        <v>2006</v>
      </c>
      <c r="E277" s="183" t="s">
        <v>532</v>
      </c>
      <c r="F277" s="178">
        <v>900</v>
      </c>
      <c r="G277" s="178">
        <v>22716</v>
      </c>
      <c r="H277" s="178">
        <v>9198</v>
      </c>
      <c r="I277" s="178">
        <v>13518</v>
      </c>
    </row>
    <row r="278" spans="1:9">
      <c r="A278" s="179" t="s">
        <v>429</v>
      </c>
      <c r="B278" s="179" t="s">
        <v>517</v>
      </c>
      <c r="C278" s="186">
        <v>38877</v>
      </c>
      <c r="D278" s="188">
        <f t="shared" si="7"/>
        <v>2006</v>
      </c>
      <c r="E278" s="183" t="s">
        <v>524</v>
      </c>
      <c r="F278" s="178">
        <v>500</v>
      </c>
      <c r="G278" s="178">
        <v>9345</v>
      </c>
      <c r="H278" s="178">
        <v>4235</v>
      </c>
      <c r="I278" s="178">
        <v>5110</v>
      </c>
    </row>
    <row r="279" spans="1:9">
      <c r="A279" s="179" t="s">
        <v>528</v>
      </c>
      <c r="B279" s="179" t="s">
        <v>518</v>
      </c>
      <c r="C279" s="186">
        <v>38887</v>
      </c>
      <c r="D279" s="188">
        <f t="shared" si="7"/>
        <v>2006</v>
      </c>
      <c r="E279" s="183" t="s">
        <v>531</v>
      </c>
      <c r="F279" s="178">
        <v>300</v>
      </c>
      <c r="G279" s="178">
        <v>6495</v>
      </c>
      <c r="H279" s="178">
        <v>3066</v>
      </c>
      <c r="I279" s="178">
        <v>3429</v>
      </c>
    </row>
    <row r="280" spans="1:9">
      <c r="A280" s="179" t="s">
        <v>423</v>
      </c>
      <c r="B280" s="179" t="s">
        <v>517</v>
      </c>
      <c r="C280" s="186">
        <v>38887</v>
      </c>
      <c r="D280" s="188">
        <f t="shared" si="7"/>
        <v>2006</v>
      </c>
      <c r="E280" s="183" t="s">
        <v>523</v>
      </c>
      <c r="F280" s="178">
        <v>300</v>
      </c>
      <c r="G280" s="178">
        <v>5094</v>
      </c>
      <c r="H280" s="178">
        <v>2541</v>
      </c>
      <c r="I280" s="178">
        <v>2553</v>
      </c>
    </row>
    <row r="281" spans="1:9">
      <c r="A281" s="179" t="s">
        <v>429</v>
      </c>
      <c r="B281" s="179" t="s">
        <v>518</v>
      </c>
      <c r="C281" s="186">
        <v>38887</v>
      </c>
      <c r="D281" s="188">
        <f t="shared" si="7"/>
        <v>2006</v>
      </c>
      <c r="E281" s="183" t="s">
        <v>524</v>
      </c>
      <c r="F281" s="178">
        <v>1000</v>
      </c>
      <c r="G281" s="178">
        <v>21880</v>
      </c>
      <c r="H281" s="178">
        <v>10220</v>
      </c>
      <c r="I281" s="178">
        <v>11660</v>
      </c>
    </row>
    <row r="282" spans="1:9">
      <c r="A282" s="179" t="s">
        <v>423</v>
      </c>
      <c r="B282" s="179" t="s">
        <v>518</v>
      </c>
      <c r="C282" s="186">
        <v>38889</v>
      </c>
      <c r="D282" s="188">
        <f t="shared" si="7"/>
        <v>2006</v>
      </c>
      <c r="E282" s="183" t="s">
        <v>527</v>
      </c>
      <c r="F282" s="178">
        <v>800</v>
      </c>
      <c r="G282" s="178">
        <v>18072</v>
      </c>
      <c r="H282" s="178">
        <v>8176</v>
      </c>
      <c r="I282" s="178">
        <v>9896</v>
      </c>
    </row>
    <row r="283" spans="1:9">
      <c r="A283" s="179" t="s">
        <v>528</v>
      </c>
      <c r="B283" s="179" t="s">
        <v>518</v>
      </c>
      <c r="C283" s="186">
        <v>38890</v>
      </c>
      <c r="D283" s="188">
        <f t="shared" si="7"/>
        <v>2006</v>
      </c>
      <c r="E283" s="183" t="s">
        <v>530</v>
      </c>
      <c r="F283" s="178">
        <v>100</v>
      </c>
      <c r="G283" s="178">
        <v>2309</v>
      </c>
      <c r="H283" s="178">
        <v>1022</v>
      </c>
      <c r="I283" s="178">
        <v>1287</v>
      </c>
    </row>
    <row r="284" spans="1:9">
      <c r="A284" s="179" t="s">
        <v>528</v>
      </c>
      <c r="B284" s="179" t="s">
        <v>518</v>
      </c>
      <c r="C284" s="186">
        <v>38890</v>
      </c>
      <c r="D284" s="188">
        <f t="shared" si="7"/>
        <v>2006</v>
      </c>
      <c r="E284" s="183" t="s">
        <v>533</v>
      </c>
      <c r="F284" s="178">
        <v>500</v>
      </c>
      <c r="G284" s="178">
        <v>11470</v>
      </c>
      <c r="H284" s="178">
        <v>5110</v>
      </c>
      <c r="I284" s="178">
        <v>6360</v>
      </c>
    </row>
    <row r="285" spans="1:9">
      <c r="A285" s="179" t="s">
        <v>429</v>
      </c>
      <c r="B285" s="179" t="s">
        <v>516</v>
      </c>
      <c r="C285" s="186">
        <v>38895</v>
      </c>
      <c r="D285" s="188">
        <f t="shared" si="7"/>
        <v>2006</v>
      </c>
      <c r="E285" s="183" t="s">
        <v>531</v>
      </c>
      <c r="F285" s="178">
        <v>900</v>
      </c>
      <c r="G285" s="178">
        <v>21168</v>
      </c>
      <c r="H285" s="178">
        <v>8856</v>
      </c>
      <c r="I285" s="178">
        <v>12312</v>
      </c>
    </row>
    <row r="286" spans="1:9">
      <c r="A286" s="179" t="s">
        <v>528</v>
      </c>
      <c r="B286" s="179" t="s">
        <v>516</v>
      </c>
      <c r="C286" s="186">
        <v>38896</v>
      </c>
      <c r="D286" s="188">
        <f t="shared" si="7"/>
        <v>2006</v>
      </c>
      <c r="E286" s="183" t="s">
        <v>524</v>
      </c>
      <c r="F286" s="178">
        <v>100</v>
      </c>
      <c r="G286" s="178">
        <v>2257</v>
      </c>
      <c r="H286" s="178">
        <v>984</v>
      </c>
      <c r="I286" s="178">
        <v>1273</v>
      </c>
    </row>
    <row r="287" spans="1:9">
      <c r="A287" s="179" t="s">
        <v>423</v>
      </c>
      <c r="B287" s="179" t="s">
        <v>517</v>
      </c>
      <c r="C287" s="186">
        <v>38900</v>
      </c>
      <c r="D287" s="188">
        <f t="shared" si="7"/>
        <v>2006</v>
      </c>
      <c r="E287" s="183" t="s">
        <v>532</v>
      </c>
      <c r="F287" s="178">
        <v>200</v>
      </c>
      <c r="G287" s="178">
        <v>3418</v>
      </c>
      <c r="H287" s="178">
        <v>1694</v>
      </c>
      <c r="I287" s="178">
        <v>1724</v>
      </c>
    </row>
    <row r="288" spans="1:9">
      <c r="A288" s="179" t="s">
        <v>528</v>
      </c>
      <c r="B288" s="179" t="s">
        <v>516</v>
      </c>
      <c r="C288" s="186">
        <v>38904</v>
      </c>
      <c r="D288" s="188">
        <f t="shared" si="7"/>
        <v>2006</v>
      </c>
      <c r="E288" s="183" t="s">
        <v>531</v>
      </c>
      <c r="F288" s="178">
        <v>1000</v>
      </c>
      <c r="G288" s="178">
        <v>20840</v>
      </c>
      <c r="H288" s="178">
        <v>9840</v>
      </c>
      <c r="I288" s="178">
        <v>11000</v>
      </c>
    </row>
    <row r="289" spans="1:9">
      <c r="A289" s="179" t="s">
        <v>423</v>
      </c>
      <c r="B289" s="179" t="s">
        <v>517</v>
      </c>
      <c r="C289" s="186">
        <v>38906</v>
      </c>
      <c r="D289" s="188">
        <f t="shared" si="7"/>
        <v>2006</v>
      </c>
      <c r="E289" s="183" t="s">
        <v>532</v>
      </c>
      <c r="F289" s="178">
        <v>1000</v>
      </c>
      <c r="G289" s="178">
        <v>19110</v>
      </c>
      <c r="H289" s="178">
        <v>8470</v>
      </c>
      <c r="I289" s="178">
        <v>10640</v>
      </c>
    </row>
    <row r="290" spans="1:9">
      <c r="A290" s="179" t="s">
        <v>528</v>
      </c>
      <c r="B290" s="179" t="s">
        <v>517</v>
      </c>
      <c r="C290" s="186">
        <v>38908</v>
      </c>
      <c r="D290" s="188">
        <f t="shared" si="7"/>
        <v>2006</v>
      </c>
      <c r="E290" s="183" t="s">
        <v>534</v>
      </c>
      <c r="F290" s="178">
        <v>100</v>
      </c>
      <c r="G290" s="178">
        <v>2108</v>
      </c>
      <c r="H290" s="178">
        <v>847</v>
      </c>
      <c r="I290" s="178">
        <v>1261</v>
      </c>
    </row>
    <row r="291" spans="1:9">
      <c r="A291" s="179" t="s">
        <v>423</v>
      </c>
      <c r="B291" s="179" t="s">
        <v>517</v>
      </c>
      <c r="C291" s="186">
        <v>38909</v>
      </c>
      <c r="D291" s="188">
        <f t="shared" si="7"/>
        <v>2006</v>
      </c>
      <c r="E291" s="183" t="s">
        <v>531</v>
      </c>
      <c r="F291" s="178">
        <v>1000</v>
      </c>
      <c r="G291" s="178">
        <v>18500</v>
      </c>
      <c r="H291" s="178">
        <v>8470</v>
      </c>
      <c r="I291" s="178">
        <v>10030</v>
      </c>
    </row>
    <row r="292" spans="1:9">
      <c r="A292" s="179" t="s">
        <v>423</v>
      </c>
      <c r="B292" s="179" t="s">
        <v>518</v>
      </c>
      <c r="C292" s="186">
        <v>38910</v>
      </c>
      <c r="D292" s="188">
        <f t="shared" si="7"/>
        <v>2006</v>
      </c>
      <c r="E292" s="183" t="s">
        <v>534</v>
      </c>
      <c r="F292" s="178">
        <v>100</v>
      </c>
      <c r="G292" s="178">
        <v>2213</v>
      </c>
      <c r="H292" s="178">
        <v>1022</v>
      </c>
      <c r="I292" s="178">
        <v>1191</v>
      </c>
    </row>
    <row r="293" spans="1:9">
      <c r="A293" s="179" t="s">
        <v>423</v>
      </c>
      <c r="B293" s="179" t="s">
        <v>516</v>
      </c>
      <c r="C293" s="186">
        <v>38911</v>
      </c>
      <c r="D293" s="188">
        <f t="shared" si="7"/>
        <v>2006</v>
      </c>
      <c r="E293" s="183" t="s">
        <v>529</v>
      </c>
      <c r="F293" s="178">
        <v>1000</v>
      </c>
      <c r="G293" s="178">
        <v>21740</v>
      </c>
      <c r="H293" s="178">
        <v>9840</v>
      </c>
      <c r="I293" s="178">
        <v>11900</v>
      </c>
    </row>
    <row r="294" spans="1:9">
      <c r="A294" s="179" t="s">
        <v>429</v>
      </c>
      <c r="B294" s="179" t="s">
        <v>517</v>
      </c>
      <c r="C294" s="186">
        <v>38914</v>
      </c>
      <c r="D294" s="188">
        <f t="shared" si="7"/>
        <v>2006</v>
      </c>
      <c r="E294" s="183" t="s">
        <v>533</v>
      </c>
      <c r="F294" s="178">
        <v>800</v>
      </c>
      <c r="G294" s="178">
        <v>16008</v>
      </c>
      <c r="H294" s="178">
        <v>6776</v>
      </c>
      <c r="I294" s="178">
        <v>9232</v>
      </c>
    </row>
    <row r="295" spans="1:9">
      <c r="A295" s="179" t="s">
        <v>528</v>
      </c>
      <c r="B295" s="179" t="s">
        <v>517</v>
      </c>
      <c r="C295" s="186">
        <v>38915</v>
      </c>
      <c r="D295" s="188">
        <f t="shared" si="7"/>
        <v>2006</v>
      </c>
      <c r="E295" s="183" t="s">
        <v>530</v>
      </c>
      <c r="F295" s="178">
        <v>100</v>
      </c>
      <c r="G295" s="178">
        <v>1817</v>
      </c>
      <c r="H295" s="178">
        <v>847</v>
      </c>
      <c r="I295" s="178">
        <v>970</v>
      </c>
    </row>
    <row r="296" spans="1:9">
      <c r="A296" s="179" t="s">
        <v>528</v>
      </c>
      <c r="B296" s="179" t="s">
        <v>517</v>
      </c>
      <c r="C296" s="186">
        <v>38915</v>
      </c>
      <c r="D296" s="188">
        <f t="shared" si="7"/>
        <v>2006</v>
      </c>
      <c r="E296" s="183" t="s">
        <v>534</v>
      </c>
      <c r="F296" s="178">
        <v>300</v>
      </c>
      <c r="G296" s="178">
        <v>6267</v>
      </c>
      <c r="H296" s="178">
        <v>2541</v>
      </c>
      <c r="I296" s="178">
        <v>3726</v>
      </c>
    </row>
    <row r="297" spans="1:9">
      <c r="A297" s="179" t="s">
        <v>423</v>
      </c>
      <c r="B297" s="179" t="s">
        <v>518</v>
      </c>
      <c r="C297" s="186">
        <v>38916</v>
      </c>
      <c r="D297" s="188">
        <f t="shared" si="7"/>
        <v>2006</v>
      </c>
      <c r="E297" s="183" t="s">
        <v>525</v>
      </c>
      <c r="F297" s="178">
        <v>1000</v>
      </c>
      <c r="G297" s="178">
        <v>25310</v>
      </c>
      <c r="H297" s="178">
        <v>10220</v>
      </c>
      <c r="I297" s="178">
        <v>15090</v>
      </c>
    </row>
    <row r="298" spans="1:9">
      <c r="A298" s="179" t="s">
        <v>429</v>
      </c>
      <c r="B298" s="179" t="s">
        <v>517</v>
      </c>
      <c r="C298" s="186">
        <v>38919</v>
      </c>
      <c r="D298" s="188">
        <f t="shared" si="7"/>
        <v>2006</v>
      </c>
      <c r="E298" s="183" t="s">
        <v>530</v>
      </c>
      <c r="F298" s="178">
        <v>700</v>
      </c>
      <c r="G298" s="178">
        <v>12131</v>
      </c>
      <c r="H298" s="178">
        <v>5929</v>
      </c>
      <c r="I298" s="178">
        <v>6202</v>
      </c>
    </row>
    <row r="299" spans="1:9">
      <c r="A299" s="179" t="s">
        <v>423</v>
      </c>
      <c r="B299" s="179" t="s">
        <v>516</v>
      </c>
      <c r="C299" s="186">
        <v>38919</v>
      </c>
      <c r="D299" s="188">
        <f t="shared" si="7"/>
        <v>2006</v>
      </c>
      <c r="E299" s="183" t="s">
        <v>533</v>
      </c>
      <c r="F299" s="178">
        <v>200</v>
      </c>
      <c r="G299" s="178">
        <v>4470</v>
      </c>
      <c r="H299" s="178">
        <v>1968</v>
      </c>
      <c r="I299" s="178">
        <v>2502</v>
      </c>
    </row>
    <row r="300" spans="1:9">
      <c r="A300" s="179" t="s">
        <v>429</v>
      </c>
      <c r="B300" s="179" t="s">
        <v>517</v>
      </c>
      <c r="C300" s="186">
        <v>38919</v>
      </c>
      <c r="D300" s="188">
        <f t="shared" si="7"/>
        <v>2006</v>
      </c>
      <c r="E300" s="183" t="s">
        <v>532</v>
      </c>
      <c r="F300" s="178">
        <v>800</v>
      </c>
      <c r="G300" s="178">
        <v>14224</v>
      </c>
      <c r="H300" s="178">
        <v>6776</v>
      </c>
      <c r="I300" s="178">
        <v>7448</v>
      </c>
    </row>
    <row r="301" spans="1:9">
      <c r="A301" s="179" t="s">
        <v>423</v>
      </c>
      <c r="B301" s="179" t="s">
        <v>518</v>
      </c>
      <c r="C301" s="186">
        <v>38921</v>
      </c>
      <c r="D301" s="188">
        <f t="shared" si="7"/>
        <v>2006</v>
      </c>
      <c r="E301" s="183" t="s">
        <v>523</v>
      </c>
      <c r="F301" s="178">
        <v>400</v>
      </c>
      <c r="G301" s="178">
        <v>9144</v>
      </c>
      <c r="H301" s="178">
        <v>4088</v>
      </c>
      <c r="I301" s="178">
        <v>5056</v>
      </c>
    </row>
    <row r="302" spans="1:9">
      <c r="A302" s="179" t="s">
        <v>423</v>
      </c>
      <c r="B302" s="179" t="s">
        <v>517</v>
      </c>
      <c r="C302" s="186">
        <v>38921</v>
      </c>
      <c r="D302" s="188">
        <f t="shared" si="7"/>
        <v>2006</v>
      </c>
      <c r="E302" s="183" t="s">
        <v>541</v>
      </c>
      <c r="F302" s="178">
        <v>700</v>
      </c>
      <c r="G302" s="178">
        <v>13853</v>
      </c>
      <c r="H302" s="178">
        <v>5929</v>
      </c>
      <c r="I302" s="178">
        <v>7924</v>
      </c>
    </row>
    <row r="303" spans="1:9">
      <c r="A303" s="179" t="s">
        <v>423</v>
      </c>
      <c r="B303" s="179" t="s">
        <v>518</v>
      </c>
      <c r="C303" s="186">
        <v>38927</v>
      </c>
      <c r="D303" s="188">
        <f t="shared" si="7"/>
        <v>2006</v>
      </c>
      <c r="E303" s="183" t="s">
        <v>535</v>
      </c>
      <c r="F303" s="178">
        <v>400</v>
      </c>
      <c r="G303" s="178">
        <v>8556</v>
      </c>
      <c r="H303" s="178">
        <v>4088</v>
      </c>
      <c r="I303" s="178">
        <v>4468</v>
      </c>
    </row>
    <row r="304" spans="1:9">
      <c r="A304" s="179" t="s">
        <v>528</v>
      </c>
      <c r="B304" s="179" t="s">
        <v>516</v>
      </c>
      <c r="C304" s="186">
        <v>38932</v>
      </c>
      <c r="D304" s="188">
        <f t="shared" si="7"/>
        <v>2006</v>
      </c>
      <c r="E304" s="183" t="s">
        <v>531</v>
      </c>
      <c r="F304" s="178">
        <v>100</v>
      </c>
      <c r="G304" s="178">
        <v>2231</v>
      </c>
      <c r="H304" s="178">
        <v>984</v>
      </c>
      <c r="I304" s="178">
        <v>1247</v>
      </c>
    </row>
    <row r="305" spans="1:9">
      <c r="A305" s="179" t="s">
        <v>528</v>
      </c>
      <c r="B305" s="179" t="s">
        <v>516</v>
      </c>
      <c r="C305" s="186">
        <v>38935</v>
      </c>
      <c r="D305" s="188">
        <f t="shared" si="7"/>
        <v>2006</v>
      </c>
      <c r="E305" s="183" t="s">
        <v>533</v>
      </c>
      <c r="F305" s="178">
        <v>700</v>
      </c>
      <c r="G305" s="178">
        <v>15407</v>
      </c>
      <c r="H305" s="178">
        <v>6888</v>
      </c>
      <c r="I305" s="178">
        <v>8519</v>
      </c>
    </row>
    <row r="306" spans="1:9">
      <c r="A306" s="179" t="s">
        <v>429</v>
      </c>
      <c r="B306" s="179" t="s">
        <v>516</v>
      </c>
      <c r="C306" s="186">
        <v>38935</v>
      </c>
      <c r="D306" s="188">
        <f t="shared" si="7"/>
        <v>2006</v>
      </c>
      <c r="E306" s="183" t="s">
        <v>532</v>
      </c>
      <c r="F306" s="178">
        <v>500</v>
      </c>
      <c r="G306" s="178">
        <v>11235</v>
      </c>
      <c r="H306" s="178">
        <v>4920</v>
      </c>
      <c r="I306" s="178">
        <v>6315</v>
      </c>
    </row>
    <row r="307" spans="1:9">
      <c r="A307" s="179" t="s">
        <v>528</v>
      </c>
      <c r="B307" s="179" t="s">
        <v>516</v>
      </c>
      <c r="C307" s="186">
        <v>38936</v>
      </c>
      <c r="D307" s="188">
        <f t="shared" si="7"/>
        <v>2006</v>
      </c>
      <c r="E307" s="183" t="s">
        <v>532</v>
      </c>
      <c r="F307" s="178">
        <v>1000</v>
      </c>
      <c r="G307" s="178">
        <v>23080</v>
      </c>
      <c r="H307" s="178">
        <v>9840</v>
      </c>
      <c r="I307" s="178">
        <v>13240</v>
      </c>
    </row>
    <row r="308" spans="1:9">
      <c r="A308" s="179" t="s">
        <v>528</v>
      </c>
      <c r="B308" s="179" t="s">
        <v>516</v>
      </c>
      <c r="C308" s="186">
        <v>38942</v>
      </c>
      <c r="D308" s="188">
        <f t="shared" si="7"/>
        <v>2006</v>
      </c>
      <c r="E308" s="183" t="s">
        <v>539</v>
      </c>
      <c r="F308" s="178">
        <v>500</v>
      </c>
      <c r="G308" s="178">
        <v>11550</v>
      </c>
      <c r="H308" s="178">
        <v>4920</v>
      </c>
      <c r="I308" s="178">
        <v>6630</v>
      </c>
    </row>
    <row r="309" spans="1:9">
      <c r="A309" s="179" t="s">
        <v>528</v>
      </c>
      <c r="B309" s="179" t="s">
        <v>517</v>
      </c>
      <c r="C309" s="186">
        <v>38945</v>
      </c>
      <c r="D309" s="188">
        <f t="shared" si="7"/>
        <v>2006</v>
      </c>
      <c r="E309" s="183" t="s">
        <v>534</v>
      </c>
      <c r="F309" s="178">
        <v>500</v>
      </c>
      <c r="G309" s="178">
        <v>10330</v>
      </c>
      <c r="H309" s="178">
        <v>4235</v>
      </c>
      <c r="I309" s="178">
        <v>6095</v>
      </c>
    </row>
    <row r="310" spans="1:9">
      <c r="A310" s="179" t="s">
        <v>528</v>
      </c>
      <c r="B310" s="179" t="s">
        <v>517</v>
      </c>
      <c r="C310" s="186">
        <v>38952</v>
      </c>
      <c r="D310" s="188">
        <f t="shared" si="7"/>
        <v>2006</v>
      </c>
      <c r="E310" s="183" t="s">
        <v>530</v>
      </c>
      <c r="F310" s="178">
        <v>400</v>
      </c>
      <c r="G310" s="178">
        <v>8016</v>
      </c>
      <c r="H310" s="178">
        <v>3388</v>
      </c>
      <c r="I310" s="178">
        <v>4628</v>
      </c>
    </row>
    <row r="311" spans="1:9">
      <c r="A311" s="179" t="s">
        <v>423</v>
      </c>
      <c r="B311" s="179" t="s">
        <v>518</v>
      </c>
      <c r="C311" s="186">
        <v>38952</v>
      </c>
      <c r="D311" s="188">
        <f t="shared" si="7"/>
        <v>2006</v>
      </c>
      <c r="E311" s="183" t="s">
        <v>531</v>
      </c>
      <c r="F311" s="178">
        <v>200</v>
      </c>
      <c r="G311" s="178">
        <v>4388</v>
      </c>
      <c r="H311" s="178">
        <v>2044</v>
      </c>
      <c r="I311" s="178">
        <v>2344</v>
      </c>
    </row>
    <row r="312" spans="1:9">
      <c r="A312" s="179" t="s">
        <v>429</v>
      </c>
      <c r="B312" s="179" t="s">
        <v>516</v>
      </c>
      <c r="C312" s="186">
        <v>38952</v>
      </c>
      <c r="D312" s="188">
        <f t="shared" si="7"/>
        <v>2006</v>
      </c>
      <c r="E312" s="183" t="s">
        <v>529</v>
      </c>
      <c r="F312" s="178">
        <v>200</v>
      </c>
      <c r="G312" s="178">
        <v>4742</v>
      </c>
      <c r="H312" s="178">
        <v>1968</v>
      </c>
      <c r="I312" s="178">
        <v>2774</v>
      </c>
    </row>
    <row r="313" spans="1:9">
      <c r="A313" s="179" t="s">
        <v>429</v>
      </c>
      <c r="B313" s="179" t="s">
        <v>517</v>
      </c>
      <c r="C313" s="186">
        <v>38958</v>
      </c>
      <c r="D313" s="188">
        <f t="shared" si="7"/>
        <v>2006</v>
      </c>
      <c r="E313" s="183" t="s">
        <v>524</v>
      </c>
      <c r="F313" s="178">
        <v>1000</v>
      </c>
      <c r="G313" s="178">
        <v>19630</v>
      </c>
      <c r="H313" s="178">
        <v>8470</v>
      </c>
      <c r="I313" s="178">
        <v>11160</v>
      </c>
    </row>
    <row r="314" spans="1:9">
      <c r="A314" s="179" t="s">
        <v>423</v>
      </c>
      <c r="B314" s="179" t="s">
        <v>518</v>
      </c>
      <c r="C314" s="186">
        <v>38959</v>
      </c>
      <c r="D314" s="188">
        <f t="shared" si="7"/>
        <v>2006</v>
      </c>
      <c r="E314" s="183" t="s">
        <v>549</v>
      </c>
      <c r="F314" s="178">
        <v>300</v>
      </c>
      <c r="G314" s="178">
        <v>7032</v>
      </c>
      <c r="H314" s="178">
        <v>3066</v>
      </c>
      <c r="I314" s="178">
        <v>3966</v>
      </c>
    </row>
    <row r="315" spans="1:9">
      <c r="A315" s="179" t="s">
        <v>528</v>
      </c>
      <c r="B315" s="179" t="s">
        <v>516</v>
      </c>
      <c r="C315" s="186">
        <v>38963</v>
      </c>
      <c r="D315" s="188">
        <f t="shared" si="7"/>
        <v>2006</v>
      </c>
      <c r="E315" s="183" t="s">
        <v>530</v>
      </c>
      <c r="F315" s="178">
        <v>1000</v>
      </c>
      <c r="G315" s="178">
        <v>21800</v>
      </c>
      <c r="H315" s="178">
        <v>9840</v>
      </c>
      <c r="I315" s="178">
        <v>11960</v>
      </c>
    </row>
    <row r="316" spans="1:9">
      <c r="A316" s="179" t="s">
        <v>423</v>
      </c>
      <c r="B316" s="179" t="s">
        <v>516</v>
      </c>
      <c r="C316" s="186">
        <v>38964</v>
      </c>
      <c r="D316" s="188">
        <f t="shared" si="7"/>
        <v>2006</v>
      </c>
      <c r="E316" s="183" t="s">
        <v>537</v>
      </c>
      <c r="F316" s="178">
        <v>300</v>
      </c>
      <c r="G316" s="178">
        <v>6156</v>
      </c>
      <c r="H316" s="178">
        <v>2952</v>
      </c>
      <c r="I316" s="178">
        <v>3204</v>
      </c>
    </row>
    <row r="317" spans="1:9">
      <c r="A317" s="179" t="s">
        <v>429</v>
      </c>
      <c r="B317" s="179" t="s">
        <v>516</v>
      </c>
      <c r="C317" s="186">
        <v>38964</v>
      </c>
      <c r="D317" s="188">
        <f t="shared" si="7"/>
        <v>2006</v>
      </c>
      <c r="E317" s="183" t="s">
        <v>540</v>
      </c>
      <c r="F317" s="178">
        <v>200</v>
      </c>
      <c r="G317" s="178">
        <v>4282</v>
      </c>
      <c r="H317" s="178">
        <v>1968</v>
      </c>
      <c r="I317" s="178">
        <v>2314</v>
      </c>
    </row>
    <row r="318" spans="1:9">
      <c r="A318" s="179" t="s">
        <v>528</v>
      </c>
      <c r="B318" s="179" t="s">
        <v>516</v>
      </c>
      <c r="C318" s="186">
        <v>38965</v>
      </c>
      <c r="D318" s="188">
        <f t="shared" si="7"/>
        <v>2006</v>
      </c>
      <c r="E318" s="183" t="s">
        <v>543</v>
      </c>
      <c r="F318" s="178">
        <v>800</v>
      </c>
      <c r="G318" s="178">
        <v>19520</v>
      </c>
      <c r="H318" s="178">
        <v>7872</v>
      </c>
      <c r="I318" s="178">
        <v>11648</v>
      </c>
    </row>
    <row r="319" spans="1:9">
      <c r="A319" s="179" t="s">
        <v>528</v>
      </c>
      <c r="B319" s="179" t="s">
        <v>518</v>
      </c>
      <c r="C319" s="186">
        <v>38965</v>
      </c>
      <c r="D319" s="188">
        <f t="shared" si="7"/>
        <v>2006</v>
      </c>
      <c r="E319" s="183" t="s">
        <v>532</v>
      </c>
      <c r="F319" s="178">
        <v>700</v>
      </c>
      <c r="G319" s="178">
        <v>15834</v>
      </c>
      <c r="H319" s="178">
        <v>7154</v>
      </c>
      <c r="I319" s="178">
        <v>8680</v>
      </c>
    </row>
    <row r="320" spans="1:9">
      <c r="A320" s="179" t="s">
        <v>528</v>
      </c>
      <c r="B320" s="179" t="s">
        <v>516</v>
      </c>
      <c r="C320" s="186">
        <v>38966</v>
      </c>
      <c r="D320" s="188">
        <f t="shared" si="7"/>
        <v>2006</v>
      </c>
      <c r="E320" s="183" t="s">
        <v>532</v>
      </c>
      <c r="F320" s="178">
        <v>900</v>
      </c>
      <c r="G320" s="178">
        <v>19503</v>
      </c>
      <c r="H320" s="178">
        <v>8856</v>
      </c>
      <c r="I320" s="178">
        <v>10647</v>
      </c>
    </row>
    <row r="321" spans="1:9">
      <c r="A321" s="179" t="s">
        <v>528</v>
      </c>
      <c r="B321" s="179" t="s">
        <v>518</v>
      </c>
      <c r="C321" s="186">
        <v>38969</v>
      </c>
      <c r="D321" s="188">
        <f t="shared" si="7"/>
        <v>2006</v>
      </c>
      <c r="E321" s="183" t="s">
        <v>540</v>
      </c>
      <c r="F321" s="178">
        <v>400</v>
      </c>
      <c r="G321" s="178">
        <v>8876</v>
      </c>
      <c r="H321" s="178">
        <v>4088</v>
      </c>
      <c r="I321" s="178">
        <v>4788</v>
      </c>
    </row>
    <row r="322" spans="1:9">
      <c r="A322" s="179" t="s">
        <v>528</v>
      </c>
      <c r="B322" s="179" t="s">
        <v>516</v>
      </c>
      <c r="C322" s="186">
        <v>38976</v>
      </c>
      <c r="D322" s="188">
        <f t="shared" ref="D322:D385" si="8">YEAR(C322)</f>
        <v>2006</v>
      </c>
      <c r="E322" s="183" t="s">
        <v>527</v>
      </c>
      <c r="F322" s="178">
        <v>200</v>
      </c>
      <c r="G322" s="178">
        <v>4060</v>
      </c>
      <c r="H322" s="178">
        <v>1968</v>
      </c>
      <c r="I322" s="178">
        <v>2092</v>
      </c>
    </row>
    <row r="323" spans="1:9">
      <c r="A323" s="179" t="s">
        <v>528</v>
      </c>
      <c r="B323" s="179" t="s">
        <v>518</v>
      </c>
      <c r="C323" s="186">
        <v>38976</v>
      </c>
      <c r="D323" s="188">
        <f t="shared" si="8"/>
        <v>2006</v>
      </c>
      <c r="E323" s="183" t="s">
        <v>546</v>
      </c>
      <c r="F323" s="178">
        <v>200</v>
      </c>
      <c r="G323" s="178">
        <v>4948</v>
      </c>
      <c r="H323" s="178">
        <v>2044</v>
      </c>
      <c r="I323" s="178">
        <v>2904</v>
      </c>
    </row>
    <row r="324" spans="1:9">
      <c r="A324" s="179" t="s">
        <v>528</v>
      </c>
      <c r="B324" s="179" t="s">
        <v>517</v>
      </c>
      <c r="C324" s="186">
        <v>38976</v>
      </c>
      <c r="D324" s="188">
        <f t="shared" si="8"/>
        <v>2006</v>
      </c>
      <c r="E324" s="183" t="s">
        <v>532</v>
      </c>
      <c r="F324" s="178">
        <v>300</v>
      </c>
      <c r="G324" s="178">
        <v>5355</v>
      </c>
      <c r="H324" s="178">
        <v>2541</v>
      </c>
      <c r="I324" s="178">
        <v>2814</v>
      </c>
    </row>
    <row r="325" spans="1:9">
      <c r="A325" s="179" t="s">
        <v>429</v>
      </c>
      <c r="B325" s="179" t="s">
        <v>516</v>
      </c>
      <c r="C325" s="186">
        <v>38979</v>
      </c>
      <c r="D325" s="188">
        <f t="shared" si="8"/>
        <v>2006</v>
      </c>
      <c r="E325" s="183" t="s">
        <v>523</v>
      </c>
      <c r="F325" s="178">
        <v>200</v>
      </c>
      <c r="G325" s="178">
        <v>4866</v>
      </c>
      <c r="H325" s="178">
        <v>1968</v>
      </c>
      <c r="I325" s="178">
        <v>2898</v>
      </c>
    </row>
    <row r="326" spans="1:9">
      <c r="A326" s="179" t="s">
        <v>429</v>
      </c>
      <c r="B326" s="179" t="s">
        <v>517</v>
      </c>
      <c r="C326" s="186">
        <v>38982</v>
      </c>
      <c r="D326" s="188">
        <f t="shared" si="8"/>
        <v>2006</v>
      </c>
      <c r="E326" s="183" t="s">
        <v>537</v>
      </c>
      <c r="F326" s="178">
        <v>500</v>
      </c>
      <c r="G326" s="178">
        <v>9155</v>
      </c>
      <c r="H326" s="178">
        <v>4235</v>
      </c>
      <c r="I326" s="178">
        <v>4920</v>
      </c>
    </row>
    <row r="327" spans="1:9">
      <c r="A327" s="179" t="s">
        <v>528</v>
      </c>
      <c r="B327" s="179" t="s">
        <v>517</v>
      </c>
      <c r="C327" s="186">
        <v>38984</v>
      </c>
      <c r="D327" s="188">
        <f t="shared" si="8"/>
        <v>2006</v>
      </c>
      <c r="E327" s="183" t="s">
        <v>525</v>
      </c>
      <c r="F327" s="178">
        <v>500</v>
      </c>
      <c r="G327" s="178">
        <v>9350</v>
      </c>
      <c r="H327" s="178">
        <v>4235</v>
      </c>
      <c r="I327" s="178">
        <v>5115</v>
      </c>
    </row>
    <row r="328" spans="1:9">
      <c r="A328" s="179" t="s">
        <v>528</v>
      </c>
      <c r="B328" s="179" t="s">
        <v>517</v>
      </c>
      <c r="C328" s="186">
        <v>38986</v>
      </c>
      <c r="D328" s="188">
        <f t="shared" si="8"/>
        <v>2006</v>
      </c>
      <c r="E328" s="183" t="s">
        <v>533</v>
      </c>
      <c r="F328" s="178">
        <v>700</v>
      </c>
      <c r="G328" s="178">
        <v>13986</v>
      </c>
      <c r="H328" s="178">
        <v>5929</v>
      </c>
      <c r="I328" s="178">
        <v>8057</v>
      </c>
    </row>
    <row r="329" spans="1:9">
      <c r="A329" s="179" t="s">
        <v>429</v>
      </c>
      <c r="B329" s="179" t="s">
        <v>517</v>
      </c>
      <c r="C329" s="186">
        <v>38986</v>
      </c>
      <c r="D329" s="188">
        <f t="shared" si="8"/>
        <v>2006</v>
      </c>
      <c r="E329" s="183" t="s">
        <v>534</v>
      </c>
      <c r="F329" s="178">
        <v>400</v>
      </c>
      <c r="G329" s="178">
        <v>8128</v>
      </c>
      <c r="H329" s="178">
        <v>3388</v>
      </c>
      <c r="I329" s="178">
        <v>4740</v>
      </c>
    </row>
    <row r="330" spans="1:9">
      <c r="A330" s="179" t="s">
        <v>429</v>
      </c>
      <c r="B330" s="179" t="s">
        <v>518</v>
      </c>
      <c r="C330" s="186">
        <v>38987</v>
      </c>
      <c r="D330" s="188">
        <f t="shared" si="8"/>
        <v>2006</v>
      </c>
      <c r="E330" s="183" t="s">
        <v>547</v>
      </c>
      <c r="F330" s="178">
        <v>1000</v>
      </c>
      <c r="G330" s="178">
        <v>24420</v>
      </c>
      <c r="H330" s="178">
        <v>10220</v>
      </c>
      <c r="I330" s="178">
        <v>14200</v>
      </c>
    </row>
    <row r="331" spans="1:9">
      <c r="A331" s="179" t="s">
        <v>429</v>
      </c>
      <c r="B331" s="179" t="s">
        <v>516</v>
      </c>
      <c r="C331" s="186">
        <v>38989</v>
      </c>
      <c r="D331" s="188">
        <f t="shared" si="8"/>
        <v>2006</v>
      </c>
      <c r="E331" s="183" t="s">
        <v>530</v>
      </c>
      <c r="F331" s="178">
        <v>400</v>
      </c>
      <c r="G331" s="178">
        <v>8204</v>
      </c>
      <c r="H331" s="178">
        <v>3936</v>
      </c>
      <c r="I331" s="178">
        <v>4268</v>
      </c>
    </row>
    <row r="332" spans="1:9">
      <c r="A332" s="179" t="s">
        <v>528</v>
      </c>
      <c r="B332" s="179" t="s">
        <v>517</v>
      </c>
      <c r="C332" s="186">
        <v>38990</v>
      </c>
      <c r="D332" s="188">
        <f t="shared" si="8"/>
        <v>2006</v>
      </c>
      <c r="E332" s="183" t="s">
        <v>532</v>
      </c>
      <c r="F332" s="178">
        <v>400</v>
      </c>
      <c r="G332" s="178">
        <v>7180</v>
      </c>
      <c r="H332" s="178">
        <v>3388</v>
      </c>
      <c r="I332" s="178">
        <v>3792</v>
      </c>
    </row>
    <row r="333" spans="1:9">
      <c r="A333" s="179" t="s">
        <v>423</v>
      </c>
      <c r="B333" s="179" t="s">
        <v>518</v>
      </c>
      <c r="C333" s="186">
        <v>38991</v>
      </c>
      <c r="D333" s="188">
        <f t="shared" si="8"/>
        <v>2006</v>
      </c>
      <c r="E333" s="183" t="s">
        <v>533</v>
      </c>
      <c r="F333" s="178">
        <v>900</v>
      </c>
      <c r="G333" s="178">
        <v>22887</v>
      </c>
      <c r="H333" s="178">
        <v>9198</v>
      </c>
      <c r="I333" s="178">
        <v>13689</v>
      </c>
    </row>
    <row r="334" spans="1:9">
      <c r="A334" s="179" t="s">
        <v>528</v>
      </c>
      <c r="B334" s="179" t="s">
        <v>517</v>
      </c>
      <c r="C334" s="186">
        <v>38992</v>
      </c>
      <c r="D334" s="188">
        <f t="shared" si="8"/>
        <v>2006</v>
      </c>
      <c r="E334" s="183" t="s">
        <v>537</v>
      </c>
      <c r="F334" s="178">
        <v>500</v>
      </c>
      <c r="G334" s="178">
        <v>8715</v>
      </c>
      <c r="H334" s="178">
        <v>4235</v>
      </c>
      <c r="I334" s="178">
        <v>4480</v>
      </c>
    </row>
    <row r="335" spans="1:9">
      <c r="A335" s="179" t="s">
        <v>528</v>
      </c>
      <c r="B335" s="179" t="s">
        <v>517</v>
      </c>
      <c r="C335" s="186">
        <v>38994</v>
      </c>
      <c r="D335" s="188">
        <f t="shared" si="8"/>
        <v>2006</v>
      </c>
      <c r="E335" s="183" t="s">
        <v>533</v>
      </c>
      <c r="F335" s="178">
        <v>300</v>
      </c>
      <c r="G335" s="178">
        <v>5157</v>
      </c>
      <c r="H335" s="178">
        <v>2541</v>
      </c>
      <c r="I335" s="178">
        <v>2616</v>
      </c>
    </row>
    <row r="336" spans="1:9">
      <c r="A336" s="179" t="s">
        <v>429</v>
      </c>
      <c r="B336" s="179" t="s">
        <v>518</v>
      </c>
      <c r="C336" s="186">
        <v>38994</v>
      </c>
      <c r="D336" s="188">
        <f t="shared" si="8"/>
        <v>2006</v>
      </c>
      <c r="E336" s="183" t="s">
        <v>532</v>
      </c>
      <c r="F336" s="178">
        <v>400</v>
      </c>
      <c r="G336" s="178">
        <v>8580</v>
      </c>
      <c r="H336" s="178">
        <v>4088</v>
      </c>
      <c r="I336" s="178">
        <v>4492</v>
      </c>
    </row>
    <row r="337" spans="1:9">
      <c r="A337" s="179" t="s">
        <v>423</v>
      </c>
      <c r="B337" s="179" t="s">
        <v>516</v>
      </c>
      <c r="C337" s="186">
        <v>38997</v>
      </c>
      <c r="D337" s="188">
        <f t="shared" si="8"/>
        <v>2006</v>
      </c>
      <c r="E337" s="183" t="s">
        <v>537</v>
      </c>
      <c r="F337" s="178">
        <v>400</v>
      </c>
      <c r="G337" s="178">
        <v>8052</v>
      </c>
      <c r="H337" s="178">
        <v>3936</v>
      </c>
      <c r="I337" s="178">
        <v>4116</v>
      </c>
    </row>
    <row r="338" spans="1:9">
      <c r="A338" s="179" t="s">
        <v>429</v>
      </c>
      <c r="B338" s="179" t="s">
        <v>518</v>
      </c>
      <c r="C338" s="186">
        <v>38999</v>
      </c>
      <c r="D338" s="188">
        <f t="shared" si="8"/>
        <v>2006</v>
      </c>
      <c r="E338" s="183" t="s">
        <v>534</v>
      </c>
      <c r="F338" s="178">
        <v>300</v>
      </c>
      <c r="G338" s="178">
        <v>6744</v>
      </c>
      <c r="H338" s="178">
        <v>3066</v>
      </c>
      <c r="I338" s="178">
        <v>3678</v>
      </c>
    </row>
    <row r="339" spans="1:9">
      <c r="A339" s="179" t="s">
        <v>528</v>
      </c>
      <c r="B339" s="179" t="s">
        <v>517</v>
      </c>
      <c r="C339" s="186">
        <v>39000</v>
      </c>
      <c r="D339" s="188">
        <f t="shared" si="8"/>
        <v>2006</v>
      </c>
      <c r="E339" s="183" t="s">
        <v>533</v>
      </c>
      <c r="F339" s="178">
        <v>300</v>
      </c>
      <c r="G339" s="178">
        <v>5358</v>
      </c>
      <c r="H339" s="178">
        <v>2541</v>
      </c>
      <c r="I339" s="178">
        <v>2817</v>
      </c>
    </row>
    <row r="340" spans="1:9">
      <c r="A340" s="179" t="s">
        <v>429</v>
      </c>
      <c r="B340" s="179" t="s">
        <v>516</v>
      </c>
      <c r="C340" s="186">
        <v>39004</v>
      </c>
      <c r="D340" s="188">
        <f t="shared" si="8"/>
        <v>2006</v>
      </c>
      <c r="E340" s="183" t="s">
        <v>550</v>
      </c>
      <c r="F340" s="178">
        <v>800</v>
      </c>
      <c r="G340" s="178">
        <v>18552</v>
      </c>
      <c r="H340" s="178">
        <v>7872</v>
      </c>
      <c r="I340" s="178">
        <v>10680</v>
      </c>
    </row>
    <row r="341" spans="1:9">
      <c r="A341" s="179" t="s">
        <v>528</v>
      </c>
      <c r="B341" s="179" t="s">
        <v>516</v>
      </c>
      <c r="C341" s="186">
        <v>39006</v>
      </c>
      <c r="D341" s="188">
        <f t="shared" si="8"/>
        <v>2006</v>
      </c>
      <c r="E341" s="183" t="s">
        <v>547</v>
      </c>
      <c r="F341" s="178">
        <v>1000</v>
      </c>
      <c r="G341" s="178">
        <v>22140</v>
      </c>
      <c r="H341" s="178">
        <v>9840</v>
      </c>
      <c r="I341" s="178">
        <v>12300</v>
      </c>
    </row>
    <row r="342" spans="1:9">
      <c r="A342" s="179" t="s">
        <v>429</v>
      </c>
      <c r="B342" s="179" t="s">
        <v>517</v>
      </c>
      <c r="C342" s="186">
        <v>39007</v>
      </c>
      <c r="D342" s="188">
        <f t="shared" si="8"/>
        <v>2006</v>
      </c>
      <c r="E342" s="183" t="s">
        <v>525</v>
      </c>
      <c r="F342" s="178">
        <v>800</v>
      </c>
      <c r="G342" s="178">
        <v>15592</v>
      </c>
      <c r="H342" s="178">
        <v>6776</v>
      </c>
      <c r="I342" s="178">
        <v>8816</v>
      </c>
    </row>
    <row r="343" spans="1:9">
      <c r="A343" s="179" t="s">
        <v>429</v>
      </c>
      <c r="B343" s="179" t="s">
        <v>517</v>
      </c>
      <c r="C343" s="186">
        <v>39008</v>
      </c>
      <c r="D343" s="188">
        <f t="shared" si="8"/>
        <v>2006</v>
      </c>
      <c r="E343" s="183" t="s">
        <v>529</v>
      </c>
      <c r="F343" s="178">
        <v>100</v>
      </c>
      <c r="G343" s="178">
        <v>1982</v>
      </c>
      <c r="H343" s="178">
        <v>847</v>
      </c>
      <c r="I343" s="178">
        <v>1135</v>
      </c>
    </row>
    <row r="344" spans="1:9">
      <c r="A344" s="179" t="s">
        <v>423</v>
      </c>
      <c r="B344" s="179" t="s">
        <v>517</v>
      </c>
      <c r="C344" s="186">
        <v>39010</v>
      </c>
      <c r="D344" s="188">
        <f t="shared" si="8"/>
        <v>2006</v>
      </c>
      <c r="E344" s="183" t="s">
        <v>523</v>
      </c>
      <c r="F344" s="178">
        <v>300</v>
      </c>
      <c r="G344" s="178">
        <v>6063</v>
      </c>
      <c r="H344" s="178">
        <v>2541</v>
      </c>
      <c r="I344" s="178">
        <v>3522</v>
      </c>
    </row>
    <row r="345" spans="1:9">
      <c r="A345" s="179" t="s">
        <v>528</v>
      </c>
      <c r="B345" s="179" t="s">
        <v>518</v>
      </c>
      <c r="C345" s="186">
        <v>39011</v>
      </c>
      <c r="D345" s="188">
        <f t="shared" si="8"/>
        <v>2006</v>
      </c>
      <c r="E345" s="183" t="s">
        <v>533</v>
      </c>
      <c r="F345" s="178">
        <v>300</v>
      </c>
      <c r="G345" s="178">
        <v>6660</v>
      </c>
      <c r="H345" s="178">
        <v>3066</v>
      </c>
      <c r="I345" s="178">
        <v>3594</v>
      </c>
    </row>
    <row r="346" spans="1:9">
      <c r="A346" s="179" t="s">
        <v>528</v>
      </c>
      <c r="B346" s="179" t="s">
        <v>517</v>
      </c>
      <c r="C346" s="186">
        <v>39015</v>
      </c>
      <c r="D346" s="188">
        <f t="shared" si="8"/>
        <v>2006</v>
      </c>
      <c r="E346" s="183" t="s">
        <v>533</v>
      </c>
      <c r="F346" s="178">
        <v>600</v>
      </c>
      <c r="G346" s="178">
        <v>11700</v>
      </c>
      <c r="H346" s="178">
        <v>5082</v>
      </c>
      <c r="I346" s="178">
        <v>6618</v>
      </c>
    </row>
    <row r="347" spans="1:9">
      <c r="A347" s="179" t="s">
        <v>429</v>
      </c>
      <c r="B347" s="179" t="s">
        <v>518</v>
      </c>
      <c r="C347" s="186">
        <v>39017</v>
      </c>
      <c r="D347" s="188">
        <f t="shared" si="8"/>
        <v>2006</v>
      </c>
      <c r="E347" s="183" t="s">
        <v>531</v>
      </c>
      <c r="F347" s="178">
        <v>500</v>
      </c>
      <c r="G347" s="178">
        <v>12425</v>
      </c>
      <c r="H347" s="178">
        <v>5110</v>
      </c>
      <c r="I347" s="178">
        <v>7315</v>
      </c>
    </row>
    <row r="348" spans="1:9">
      <c r="A348" s="179" t="s">
        <v>528</v>
      </c>
      <c r="B348" s="179" t="s">
        <v>516</v>
      </c>
      <c r="C348" s="186">
        <v>39024</v>
      </c>
      <c r="D348" s="188">
        <f t="shared" si="8"/>
        <v>2006</v>
      </c>
      <c r="E348" s="183" t="s">
        <v>529</v>
      </c>
      <c r="F348" s="178">
        <v>600</v>
      </c>
      <c r="G348" s="178">
        <v>12282</v>
      </c>
      <c r="H348" s="178">
        <v>5904</v>
      </c>
      <c r="I348" s="178">
        <v>6378</v>
      </c>
    </row>
    <row r="349" spans="1:9">
      <c r="A349" s="179" t="s">
        <v>429</v>
      </c>
      <c r="B349" s="179" t="s">
        <v>518</v>
      </c>
      <c r="C349" s="186">
        <v>39024</v>
      </c>
      <c r="D349" s="188">
        <f t="shared" si="8"/>
        <v>2006</v>
      </c>
      <c r="E349" s="183" t="s">
        <v>544</v>
      </c>
      <c r="F349" s="178">
        <v>400</v>
      </c>
      <c r="G349" s="178">
        <v>9152</v>
      </c>
      <c r="H349" s="178">
        <v>4088</v>
      </c>
      <c r="I349" s="178">
        <v>5064</v>
      </c>
    </row>
    <row r="350" spans="1:9">
      <c r="A350" s="179" t="s">
        <v>429</v>
      </c>
      <c r="B350" s="179" t="s">
        <v>516</v>
      </c>
      <c r="C350" s="186">
        <v>39025</v>
      </c>
      <c r="D350" s="188">
        <f t="shared" si="8"/>
        <v>2006</v>
      </c>
      <c r="E350" s="183" t="s">
        <v>534</v>
      </c>
      <c r="F350" s="178">
        <v>500</v>
      </c>
      <c r="G350" s="178">
        <v>11725</v>
      </c>
      <c r="H350" s="178">
        <v>4920</v>
      </c>
      <c r="I350" s="178">
        <v>6805</v>
      </c>
    </row>
    <row r="351" spans="1:9">
      <c r="A351" s="179" t="s">
        <v>528</v>
      </c>
      <c r="B351" s="179" t="s">
        <v>517</v>
      </c>
      <c r="C351" s="186">
        <v>39027</v>
      </c>
      <c r="D351" s="188">
        <f t="shared" si="8"/>
        <v>2006</v>
      </c>
      <c r="E351" s="183" t="s">
        <v>534</v>
      </c>
      <c r="F351" s="178">
        <v>100</v>
      </c>
      <c r="G351" s="178">
        <v>2111</v>
      </c>
      <c r="H351" s="178">
        <v>847</v>
      </c>
      <c r="I351" s="178">
        <v>1264</v>
      </c>
    </row>
    <row r="352" spans="1:9">
      <c r="A352" s="179" t="s">
        <v>423</v>
      </c>
      <c r="B352" s="179" t="s">
        <v>517</v>
      </c>
      <c r="C352" s="186">
        <v>39028</v>
      </c>
      <c r="D352" s="188">
        <f t="shared" si="8"/>
        <v>2006</v>
      </c>
      <c r="E352" s="183" t="s">
        <v>533</v>
      </c>
      <c r="F352" s="178">
        <v>200</v>
      </c>
      <c r="G352" s="178">
        <v>3876</v>
      </c>
      <c r="H352" s="178">
        <v>1694</v>
      </c>
      <c r="I352" s="178">
        <v>2182</v>
      </c>
    </row>
    <row r="353" spans="1:9">
      <c r="A353" s="179" t="s">
        <v>423</v>
      </c>
      <c r="B353" s="179" t="s">
        <v>516</v>
      </c>
      <c r="C353" s="186">
        <v>39029</v>
      </c>
      <c r="D353" s="188">
        <f t="shared" si="8"/>
        <v>2006</v>
      </c>
      <c r="E353" s="183" t="s">
        <v>530</v>
      </c>
      <c r="F353" s="178">
        <v>100</v>
      </c>
      <c r="G353" s="178">
        <v>2410</v>
      </c>
      <c r="H353" s="178">
        <v>984</v>
      </c>
      <c r="I353" s="178">
        <v>1426</v>
      </c>
    </row>
    <row r="354" spans="1:9">
      <c r="A354" s="179" t="s">
        <v>423</v>
      </c>
      <c r="B354" s="179" t="s">
        <v>517</v>
      </c>
      <c r="C354" s="186">
        <v>39030</v>
      </c>
      <c r="D354" s="188">
        <f t="shared" si="8"/>
        <v>2006</v>
      </c>
      <c r="E354" s="183" t="s">
        <v>531</v>
      </c>
      <c r="F354" s="178">
        <v>100</v>
      </c>
      <c r="G354" s="178">
        <v>1878</v>
      </c>
      <c r="H354" s="178">
        <v>847</v>
      </c>
      <c r="I354" s="178">
        <v>1031</v>
      </c>
    </row>
    <row r="355" spans="1:9">
      <c r="A355" s="179" t="s">
        <v>423</v>
      </c>
      <c r="B355" s="179" t="s">
        <v>518</v>
      </c>
      <c r="C355" s="186">
        <v>39033</v>
      </c>
      <c r="D355" s="188">
        <f t="shared" si="8"/>
        <v>2006</v>
      </c>
      <c r="E355" s="183" t="s">
        <v>524</v>
      </c>
      <c r="F355" s="178">
        <v>400</v>
      </c>
      <c r="G355" s="178">
        <v>8732</v>
      </c>
      <c r="H355" s="178">
        <v>4088</v>
      </c>
      <c r="I355" s="178">
        <v>4644</v>
      </c>
    </row>
    <row r="356" spans="1:9">
      <c r="A356" s="179" t="s">
        <v>423</v>
      </c>
      <c r="B356" s="179" t="s">
        <v>518</v>
      </c>
      <c r="C356" s="186">
        <v>39034</v>
      </c>
      <c r="D356" s="188">
        <f t="shared" si="8"/>
        <v>2006</v>
      </c>
      <c r="E356" s="183" t="s">
        <v>550</v>
      </c>
      <c r="F356" s="178">
        <v>800</v>
      </c>
      <c r="G356" s="178">
        <v>17728</v>
      </c>
      <c r="H356" s="178">
        <v>8176</v>
      </c>
      <c r="I356" s="178">
        <v>9552</v>
      </c>
    </row>
    <row r="357" spans="1:9">
      <c r="A357" s="179" t="s">
        <v>423</v>
      </c>
      <c r="B357" s="179" t="s">
        <v>518</v>
      </c>
      <c r="C357" s="186">
        <v>39034</v>
      </c>
      <c r="D357" s="188">
        <f t="shared" si="8"/>
        <v>2006</v>
      </c>
      <c r="E357" s="183" t="s">
        <v>524</v>
      </c>
      <c r="F357" s="178">
        <v>900</v>
      </c>
      <c r="G357" s="178">
        <v>18666</v>
      </c>
      <c r="H357" s="178">
        <v>9198</v>
      </c>
      <c r="I357" s="178">
        <v>9468</v>
      </c>
    </row>
    <row r="358" spans="1:9">
      <c r="A358" s="179" t="s">
        <v>423</v>
      </c>
      <c r="B358" s="179" t="s">
        <v>516</v>
      </c>
      <c r="C358" s="186">
        <v>39036</v>
      </c>
      <c r="D358" s="188">
        <f t="shared" si="8"/>
        <v>2006</v>
      </c>
      <c r="E358" s="183" t="s">
        <v>523</v>
      </c>
      <c r="F358" s="178">
        <v>400</v>
      </c>
      <c r="G358" s="178">
        <v>8776</v>
      </c>
      <c r="H358" s="178">
        <v>3936</v>
      </c>
      <c r="I358" s="178">
        <v>4840</v>
      </c>
    </row>
    <row r="359" spans="1:9">
      <c r="A359" s="179" t="s">
        <v>528</v>
      </c>
      <c r="B359" s="179" t="s">
        <v>516</v>
      </c>
      <c r="C359" s="186">
        <v>39038</v>
      </c>
      <c r="D359" s="188">
        <f t="shared" si="8"/>
        <v>2006</v>
      </c>
      <c r="E359" s="183" t="s">
        <v>525</v>
      </c>
      <c r="F359" s="178">
        <v>500</v>
      </c>
      <c r="G359" s="178">
        <v>11660</v>
      </c>
      <c r="H359" s="178">
        <v>4920</v>
      </c>
      <c r="I359" s="178">
        <v>6740</v>
      </c>
    </row>
    <row r="360" spans="1:9">
      <c r="A360" s="179" t="s">
        <v>423</v>
      </c>
      <c r="B360" s="179" t="s">
        <v>516</v>
      </c>
      <c r="C360" s="186">
        <v>39038</v>
      </c>
      <c r="D360" s="188">
        <f t="shared" si="8"/>
        <v>2006</v>
      </c>
      <c r="E360" s="183" t="s">
        <v>537</v>
      </c>
      <c r="F360" s="178">
        <v>800</v>
      </c>
      <c r="G360" s="178">
        <v>18904</v>
      </c>
      <c r="H360" s="178">
        <v>7872</v>
      </c>
      <c r="I360" s="178">
        <v>11032</v>
      </c>
    </row>
    <row r="361" spans="1:9">
      <c r="A361" s="179" t="s">
        <v>429</v>
      </c>
      <c r="B361" s="179" t="s">
        <v>516</v>
      </c>
      <c r="C361" s="186">
        <v>39038</v>
      </c>
      <c r="D361" s="188">
        <f t="shared" si="8"/>
        <v>2006</v>
      </c>
      <c r="E361" s="183" t="s">
        <v>533</v>
      </c>
      <c r="F361" s="178">
        <v>700</v>
      </c>
      <c r="G361" s="178">
        <v>16170</v>
      </c>
      <c r="H361" s="178">
        <v>6888</v>
      </c>
      <c r="I361" s="178">
        <v>9282</v>
      </c>
    </row>
    <row r="362" spans="1:9">
      <c r="A362" s="179" t="s">
        <v>429</v>
      </c>
      <c r="B362" s="179" t="s">
        <v>517</v>
      </c>
      <c r="C362" s="186">
        <v>39039</v>
      </c>
      <c r="D362" s="188">
        <f t="shared" si="8"/>
        <v>2006</v>
      </c>
      <c r="E362" s="183" t="s">
        <v>533</v>
      </c>
      <c r="F362" s="178">
        <v>400</v>
      </c>
      <c r="G362" s="178">
        <v>8132</v>
      </c>
      <c r="H362" s="178">
        <v>3388</v>
      </c>
      <c r="I362" s="178">
        <v>4744</v>
      </c>
    </row>
    <row r="363" spans="1:9">
      <c r="A363" s="179" t="s">
        <v>528</v>
      </c>
      <c r="B363" s="179" t="s">
        <v>517</v>
      </c>
      <c r="C363" s="186">
        <v>39039</v>
      </c>
      <c r="D363" s="188">
        <f t="shared" si="8"/>
        <v>2006</v>
      </c>
      <c r="E363" s="183" t="s">
        <v>532</v>
      </c>
      <c r="F363" s="178">
        <v>300</v>
      </c>
      <c r="G363" s="178">
        <v>5508</v>
      </c>
      <c r="H363" s="178">
        <v>2541</v>
      </c>
      <c r="I363" s="178">
        <v>2967</v>
      </c>
    </row>
    <row r="364" spans="1:9">
      <c r="A364" s="179" t="s">
        <v>429</v>
      </c>
      <c r="B364" s="179" t="s">
        <v>517</v>
      </c>
      <c r="C364" s="186">
        <v>39040</v>
      </c>
      <c r="D364" s="188">
        <f t="shared" si="8"/>
        <v>2006</v>
      </c>
      <c r="E364" s="183" t="s">
        <v>524</v>
      </c>
      <c r="F364" s="178">
        <v>200</v>
      </c>
      <c r="G364" s="178">
        <v>4012</v>
      </c>
      <c r="H364" s="178">
        <v>1694</v>
      </c>
      <c r="I364" s="178">
        <v>2318</v>
      </c>
    </row>
    <row r="365" spans="1:9">
      <c r="A365" s="179" t="s">
        <v>429</v>
      </c>
      <c r="B365" s="179" t="s">
        <v>516</v>
      </c>
      <c r="C365" s="186">
        <v>39042</v>
      </c>
      <c r="D365" s="188">
        <f t="shared" si="8"/>
        <v>2006</v>
      </c>
      <c r="E365" s="183" t="s">
        <v>534</v>
      </c>
      <c r="F365" s="178">
        <v>700</v>
      </c>
      <c r="G365" s="178">
        <v>16765</v>
      </c>
      <c r="H365" s="178">
        <v>6888</v>
      </c>
      <c r="I365" s="178">
        <v>9877</v>
      </c>
    </row>
    <row r="366" spans="1:9">
      <c r="A366" s="179" t="s">
        <v>429</v>
      </c>
      <c r="B366" s="179" t="s">
        <v>517</v>
      </c>
      <c r="C366" s="186">
        <v>39043</v>
      </c>
      <c r="D366" s="188">
        <f t="shared" si="8"/>
        <v>2006</v>
      </c>
      <c r="E366" s="183" t="s">
        <v>537</v>
      </c>
      <c r="F366" s="178">
        <v>600</v>
      </c>
      <c r="G366" s="178">
        <v>11274</v>
      </c>
      <c r="H366" s="178">
        <v>5082</v>
      </c>
      <c r="I366" s="178">
        <v>6192</v>
      </c>
    </row>
    <row r="367" spans="1:9">
      <c r="A367" s="179" t="s">
        <v>528</v>
      </c>
      <c r="B367" s="179" t="s">
        <v>518</v>
      </c>
      <c r="C367" s="186">
        <v>39046</v>
      </c>
      <c r="D367" s="188">
        <f t="shared" si="8"/>
        <v>2006</v>
      </c>
      <c r="E367" s="183" t="s">
        <v>529</v>
      </c>
      <c r="F367" s="178">
        <v>600</v>
      </c>
      <c r="G367" s="178">
        <v>13542</v>
      </c>
      <c r="H367" s="178">
        <v>6132</v>
      </c>
      <c r="I367" s="178">
        <v>7410</v>
      </c>
    </row>
    <row r="368" spans="1:9">
      <c r="A368" s="179" t="s">
        <v>528</v>
      </c>
      <c r="B368" s="179" t="s">
        <v>517</v>
      </c>
      <c r="C368" s="186">
        <v>39047</v>
      </c>
      <c r="D368" s="188">
        <f t="shared" si="8"/>
        <v>2006</v>
      </c>
      <c r="E368" s="183" t="s">
        <v>529</v>
      </c>
      <c r="F368" s="178">
        <v>400</v>
      </c>
      <c r="G368" s="178">
        <v>7852</v>
      </c>
      <c r="H368" s="178">
        <v>3388</v>
      </c>
      <c r="I368" s="178">
        <v>4464</v>
      </c>
    </row>
    <row r="369" spans="1:9">
      <c r="A369" s="179" t="s">
        <v>528</v>
      </c>
      <c r="B369" s="179" t="s">
        <v>518</v>
      </c>
      <c r="C369" s="186">
        <v>39048</v>
      </c>
      <c r="D369" s="188">
        <f t="shared" si="8"/>
        <v>2006</v>
      </c>
      <c r="E369" s="183" t="s">
        <v>530</v>
      </c>
      <c r="F369" s="178">
        <v>500</v>
      </c>
      <c r="G369" s="178">
        <v>10400</v>
      </c>
      <c r="H369" s="178">
        <v>5110</v>
      </c>
      <c r="I369" s="178">
        <v>5290</v>
      </c>
    </row>
    <row r="370" spans="1:9">
      <c r="A370" s="179" t="s">
        <v>423</v>
      </c>
      <c r="B370" s="179" t="s">
        <v>517</v>
      </c>
      <c r="C370" s="186">
        <v>39048</v>
      </c>
      <c r="D370" s="188">
        <f t="shared" si="8"/>
        <v>2006</v>
      </c>
      <c r="E370" s="183" t="s">
        <v>535</v>
      </c>
      <c r="F370" s="178">
        <v>1000</v>
      </c>
      <c r="G370" s="178">
        <v>17250</v>
      </c>
      <c r="H370" s="178">
        <v>8470</v>
      </c>
      <c r="I370" s="178">
        <v>8780</v>
      </c>
    </row>
    <row r="371" spans="1:9">
      <c r="A371" s="179" t="s">
        <v>528</v>
      </c>
      <c r="B371" s="179" t="s">
        <v>516</v>
      </c>
      <c r="C371" s="186">
        <v>39055</v>
      </c>
      <c r="D371" s="188">
        <f t="shared" si="8"/>
        <v>2006</v>
      </c>
      <c r="E371" s="183" t="s">
        <v>530</v>
      </c>
      <c r="F371" s="178">
        <v>500</v>
      </c>
      <c r="G371" s="178">
        <v>11430</v>
      </c>
      <c r="H371" s="178">
        <v>4920</v>
      </c>
      <c r="I371" s="178">
        <v>6510</v>
      </c>
    </row>
    <row r="372" spans="1:9">
      <c r="A372" s="179" t="s">
        <v>528</v>
      </c>
      <c r="B372" s="179" t="s">
        <v>518</v>
      </c>
      <c r="C372" s="186">
        <v>39062</v>
      </c>
      <c r="D372" s="188">
        <f t="shared" si="8"/>
        <v>2006</v>
      </c>
      <c r="E372" s="183" t="s">
        <v>531</v>
      </c>
      <c r="F372" s="178">
        <v>200</v>
      </c>
      <c r="G372" s="178">
        <v>4722</v>
      </c>
      <c r="H372" s="178">
        <v>2044</v>
      </c>
      <c r="I372" s="178">
        <v>2678</v>
      </c>
    </row>
    <row r="373" spans="1:9">
      <c r="A373" s="179" t="s">
        <v>528</v>
      </c>
      <c r="B373" s="179" t="s">
        <v>516</v>
      </c>
      <c r="C373" s="186">
        <v>39066</v>
      </c>
      <c r="D373" s="188">
        <f t="shared" si="8"/>
        <v>2006</v>
      </c>
      <c r="E373" s="183" t="s">
        <v>525</v>
      </c>
      <c r="F373" s="178">
        <v>900</v>
      </c>
      <c r="G373" s="178">
        <v>21546</v>
      </c>
      <c r="H373" s="178">
        <v>8856</v>
      </c>
      <c r="I373" s="178">
        <v>12690</v>
      </c>
    </row>
    <row r="374" spans="1:9">
      <c r="A374" s="179" t="s">
        <v>423</v>
      </c>
      <c r="B374" s="179" t="s">
        <v>517</v>
      </c>
      <c r="C374" s="186">
        <v>39067</v>
      </c>
      <c r="D374" s="188">
        <f t="shared" si="8"/>
        <v>2006</v>
      </c>
      <c r="E374" s="183" t="s">
        <v>523</v>
      </c>
      <c r="F374" s="178">
        <v>800</v>
      </c>
      <c r="G374" s="178">
        <v>15400</v>
      </c>
      <c r="H374" s="178">
        <v>6776</v>
      </c>
      <c r="I374" s="178">
        <v>8624</v>
      </c>
    </row>
    <row r="375" spans="1:9">
      <c r="A375" s="179" t="s">
        <v>429</v>
      </c>
      <c r="B375" s="179" t="s">
        <v>516</v>
      </c>
      <c r="C375" s="186">
        <v>39069</v>
      </c>
      <c r="D375" s="188">
        <f t="shared" si="8"/>
        <v>2006</v>
      </c>
      <c r="E375" s="183" t="s">
        <v>531</v>
      </c>
      <c r="F375" s="178">
        <v>100</v>
      </c>
      <c r="G375" s="178">
        <v>2319</v>
      </c>
      <c r="H375" s="178">
        <v>984</v>
      </c>
      <c r="I375" s="178">
        <v>1335</v>
      </c>
    </row>
    <row r="376" spans="1:9">
      <c r="A376" s="179" t="s">
        <v>429</v>
      </c>
      <c r="B376" s="179" t="s">
        <v>516</v>
      </c>
      <c r="C376" s="186">
        <v>39071</v>
      </c>
      <c r="D376" s="188">
        <f t="shared" si="8"/>
        <v>2006</v>
      </c>
      <c r="E376" s="183" t="s">
        <v>530</v>
      </c>
      <c r="F376" s="178">
        <v>700</v>
      </c>
      <c r="G376" s="178">
        <v>13867</v>
      </c>
      <c r="H376" s="178">
        <v>6888</v>
      </c>
      <c r="I376" s="178">
        <v>6979</v>
      </c>
    </row>
    <row r="377" spans="1:9">
      <c r="A377" s="179" t="s">
        <v>423</v>
      </c>
      <c r="B377" s="179" t="s">
        <v>517</v>
      </c>
      <c r="C377" s="186">
        <v>39072</v>
      </c>
      <c r="D377" s="188">
        <f t="shared" si="8"/>
        <v>2006</v>
      </c>
      <c r="E377" s="183" t="s">
        <v>533</v>
      </c>
      <c r="F377" s="178">
        <v>1000</v>
      </c>
      <c r="G377" s="178">
        <v>19530</v>
      </c>
      <c r="H377" s="178">
        <v>8470</v>
      </c>
      <c r="I377" s="178">
        <v>11060</v>
      </c>
    </row>
    <row r="378" spans="1:9">
      <c r="A378" s="179" t="s">
        <v>429</v>
      </c>
      <c r="B378" s="179" t="s">
        <v>517</v>
      </c>
      <c r="C378" s="186">
        <v>39076</v>
      </c>
      <c r="D378" s="188">
        <f t="shared" si="8"/>
        <v>2006</v>
      </c>
      <c r="E378" s="183" t="s">
        <v>525</v>
      </c>
      <c r="F378" s="178">
        <v>200</v>
      </c>
      <c r="G378" s="178">
        <v>4192</v>
      </c>
      <c r="H378" s="178">
        <v>1694</v>
      </c>
      <c r="I378" s="178">
        <v>2498</v>
      </c>
    </row>
    <row r="379" spans="1:9">
      <c r="A379" s="179" t="s">
        <v>429</v>
      </c>
      <c r="B379" s="179" t="s">
        <v>518</v>
      </c>
      <c r="C379" s="186">
        <v>39077</v>
      </c>
      <c r="D379" s="188">
        <f t="shared" si="8"/>
        <v>2006</v>
      </c>
      <c r="E379" s="183" t="s">
        <v>534</v>
      </c>
      <c r="F379" s="178">
        <v>900</v>
      </c>
      <c r="G379" s="178">
        <v>19539</v>
      </c>
      <c r="H379" s="178">
        <v>9198</v>
      </c>
      <c r="I379" s="178">
        <v>10341</v>
      </c>
    </row>
    <row r="380" spans="1:9">
      <c r="A380" s="179" t="s">
        <v>429</v>
      </c>
      <c r="B380" s="179" t="s">
        <v>517</v>
      </c>
      <c r="C380" s="186">
        <v>39080</v>
      </c>
      <c r="D380" s="188">
        <f t="shared" si="8"/>
        <v>2006</v>
      </c>
      <c r="E380" s="183" t="s">
        <v>531</v>
      </c>
      <c r="F380" s="178">
        <v>900</v>
      </c>
      <c r="G380" s="178">
        <v>17289</v>
      </c>
      <c r="H380" s="178">
        <v>7623</v>
      </c>
      <c r="I380" s="178">
        <v>9666</v>
      </c>
    </row>
    <row r="381" spans="1:9">
      <c r="A381" s="179" t="s">
        <v>429</v>
      </c>
      <c r="B381" s="179" t="s">
        <v>518</v>
      </c>
      <c r="C381" s="186">
        <v>39081</v>
      </c>
      <c r="D381" s="188">
        <f t="shared" si="8"/>
        <v>2006</v>
      </c>
      <c r="E381" s="183" t="s">
        <v>524</v>
      </c>
      <c r="F381" s="178">
        <v>500</v>
      </c>
      <c r="G381" s="178">
        <v>10650</v>
      </c>
      <c r="H381" s="178">
        <v>5110</v>
      </c>
      <c r="I381" s="178">
        <v>5540</v>
      </c>
    </row>
    <row r="382" spans="1:9">
      <c r="A382" s="179" t="s">
        <v>528</v>
      </c>
      <c r="B382" s="179" t="s">
        <v>516</v>
      </c>
      <c r="C382" s="186">
        <v>39082</v>
      </c>
      <c r="D382" s="188">
        <f t="shared" si="8"/>
        <v>2006</v>
      </c>
      <c r="E382" s="183" t="s">
        <v>532</v>
      </c>
      <c r="F382" s="178">
        <v>200</v>
      </c>
      <c r="G382" s="178">
        <v>4132</v>
      </c>
      <c r="H382" s="178">
        <v>1968</v>
      </c>
      <c r="I382" s="178">
        <v>2164</v>
      </c>
    </row>
    <row r="383" spans="1:9">
      <c r="A383" s="179" t="s">
        <v>528</v>
      </c>
      <c r="B383" s="179" t="s">
        <v>516</v>
      </c>
      <c r="C383" s="186">
        <v>39083</v>
      </c>
      <c r="D383" s="188">
        <f t="shared" si="8"/>
        <v>2007</v>
      </c>
      <c r="E383" s="183" t="s">
        <v>545</v>
      </c>
      <c r="F383" s="178">
        <v>800</v>
      </c>
      <c r="G383" s="178">
        <v>16784</v>
      </c>
      <c r="H383" s="178">
        <v>7872</v>
      </c>
      <c r="I383" s="178">
        <v>8912</v>
      </c>
    </row>
    <row r="384" spans="1:9">
      <c r="A384" s="179" t="s">
        <v>528</v>
      </c>
      <c r="B384" s="179" t="s">
        <v>517</v>
      </c>
      <c r="C384" s="186">
        <v>39083</v>
      </c>
      <c r="D384" s="188">
        <f t="shared" si="8"/>
        <v>2007</v>
      </c>
      <c r="E384" s="183" t="s">
        <v>523</v>
      </c>
      <c r="F384" s="178">
        <v>300</v>
      </c>
      <c r="G384" s="178">
        <v>5886</v>
      </c>
      <c r="H384" s="178">
        <v>2541</v>
      </c>
      <c r="I384" s="178">
        <v>3345</v>
      </c>
    </row>
    <row r="385" spans="1:9">
      <c r="A385" s="179" t="s">
        <v>528</v>
      </c>
      <c r="B385" s="179" t="s">
        <v>518</v>
      </c>
      <c r="C385" s="186">
        <v>39084</v>
      </c>
      <c r="D385" s="188">
        <f t="shared" si="8"/>
        <v>2007</v>
      </c>
      <c r="E385" s="183" t="s">
        <v>533</v>
      </c>
      <c r="F385" s="178">
        <v>600</v>
      </c>
      <c r="G385" s="178">
        <v>13680</v>
      </c>
      <c r="H385" s="178">
        <v>6132</v>
      </c>
      <c r="I385" s="178">
        <v>7548</v>
      </c>
    </row>
    <row r="386" spans="1:9">
      <c r="A386" s="179" t="s">
        <v>528</v>
      </c>
      <c r="B386" s="179" t="s">
        <v>518</v>
      </c>
      <c r="C386" s="186">
        <v>39085</v>
      </c>
      <c r="D386" s="188">
        <f t="shared" ref="D386:D449" si="9">YEAR(C386)</f>
        <v>2007</v>
      </c>
      <c r="E386" s="183" t="s">
        <v>524</v>
      </c>
      <c r="F386" s="178">
        <v>100</v>
      </c>
      <c r="G386" s="178">
        <v>2092</v>
      </c>
      <c r="H386" s="178">
        <v>1022</v>
      </c>
      <c r="I386" s="178">
        <v>1070</v>
      </c>
    </row>
    <row r="387" spans="1:9">
      <c r="A387" s="179" t="s">
        <v>429</v>
      </c>
      <c r="B387" s="179" t="s">
        <v>516</v>
      </c>
      <c r="C387" s="186">
        <v>39085</v>
      </c>
      <c r="D387" s="188">
        <f t="shared" si="9"/>
        <v>2007</v>
      </c>
      <c r="E387" s="183" t="s">
        <v>532</v>
      </c>
      <c r="F387" s="178">
        <v>1000</v>
      </c>
      <c r="G387" s="178">
        <v>23040</v>
      </c>
      <c r="H387" s="178">
        <v>9840</v>
      </c>
      <c r="I387" s="178">
        <v>13200</v>
      </c>
    </row>
    <row r="388" spans="1:9">
      <c r="A388" s="179" t="s">
        <v>528</v>
      </c>
      <c r="B388" s="179" t="s">
        <v>517</v>
      </c>
      <c r="C388" s="186">
        <v>39086</v>
      </c>
      <c r="D388" s="188">
        <f t="shared" si="9"/>
        <v>2007</v>
      </c>
      <c r="E388" s="183" t="s">
        <v>523</v>
      </c>
      <c r="F388" s="178">
        <v>800</v>
      </c>
      <c r="G388" s="178">
        <v>15544</v>
      </c>
      <c r="H388" s="178">
        <v>6776</v>
      </c>
      <c r="I388" s="178">
        <v>8768</v>
      </c>
    </row>
    <row r="389" spans="1:9">
      <c r="A389" s="179" t="s">
        <v>423</v>
      </c>
      <c r="B389" s="179" t="s">
        <v>518</v>
      </c>
      <c r="C389" s="186">
        <v>39087</v>
      </c>
      <c r="D389" s="188">
        <f t="shared" si="9"/>
        <v>2007</v>
      </c>
      <c r="E389" s="183" t="s">
        <v>530</v>
      </c>
      <c r="F389" s="178">
        <v>400</v>
      </c>
      <c r="G389" s="178">
        <v>8284</v>
      </c>
      <c r="H389" s="178">
        <v>4088</v>
      </c>
      <c r="I389" s="178">
        <v>4196</v>
      </c>
    </row>
    <row r="390" spans="1:9">
      <c r="A390" s="179" t="s">
        <v>423</v>
      </c>
      <c r="B390" s="179" t="s">
        <v>517</v>
      </c>
      <c r="C390" s="186">
        <v>39097</v>
      </c>
      <c r="D390" s="188">
        <f t="shared" si="9"/>
        <v>2007</v>
      </c>
      <c r="E390" s="183" t="s">
        <v>533</v>
      </c>
      <c r="F390" s="178">
        <v>700</v>
      </c>
      <c r="G390" s="178">
        <v>12145</v>
      </c>
      <c r="H390" s="178">
        <v>5929</v>
      </c>
      <c r="I390" s="178">
        <v>6216</v>
      </c>
    </row>
    <row r="391" spans="1:9">
      <c r="A391" s="179" t="s">
        <v>429</v>
      </c>
      <c r="B391" s="179" t="s">
        <v>518</v>
      </c>
      <c r="C391" s="186">
        <v>39098</v>
      </c>
      <c r="D391" s="188">
        <f t="shared" si="9"/>
        <v>2007</v>
      </c>
      <c r="E391" s="183" t="s">
        <v>533</v>
      </c>
      <c r="F391" s="178">
        <v>900</v>
      </c>
      <c r="G391" s="178">
        <v>21456</v>
      </c>
      <c r="H391" s="178">
        <v>9198</v>
      </c>
      <c r="I391" s="178">
        <v>12258</v>
      </c>
    </row>
    <row r="392" spans="1:9">
      <c r="A392" s="179" t="s">
        <v>528</v>
      </c>
      <c r="B392" s="179" t="s">
        <v>516</v>
      </c>
      <c r="C392" s="186">
        <v>39099</v>
      </c>
      <c r="D392" s="188">
        <f t="shared" si="9"/>
        <v>2007</v>
      </c>
      <c r="E392" s="183" t="s">
        <v>529</v>
      </c>
      <c r="F392" s="178">
        <v>800</v>
      </c>
      <c r="G392" s="178">
        <v>17416</v>
      </c>
      <c r="H392" s="178">
        <v>7872</v>
      </c>
      <c r="I392" s="178">
        <v>9544</v>
      </c>
    </row>
    <row r="393" spans="1:9">
      <c r="A393" s="179" t="s">
        <v>423</v>
      </c>
      <c r="B393" s="179" t="s">
        <v>517</v>
      </c>
      <c r="C393" s="186">
        <v>39101</v>
      </c>
      <c r="D393" s="188">
        <f t="shared" si="9"/>
        <v>2007</v>
      </c>
      <c r="E393" s="183" t="s">
        <v>523</v>
      </c>
      <c r="F393" s="178">
        <v>100</v>
      </c>
      <c r="G393" s="178">
        <v>1741</v>
      </c>
      <c r="H393" s="178">
        <v>847</v>
      </c>
      <c r="I393" s="178">
        <v>894</v>
      </c>
    </row>
    <row r="394" spans="1:9">
      <c r="A394" s="179" t="s">
        <v>429</v>
      </c>
      <c r="B394" s="179" t="s">
        <v>518</v>
      </c>
      <c r="C394" s="186">
        <v>39103</v>
      </c>
      <c r="D394" s="188">
        <f t="shared" si="9"/>
        <v>2007</v>
      </c>
      <c r="E394" s="183" t="s">
        <v>533</v>
      </c>
      <c r="F394" s="178">
        <v>100</v>
      </c>
      <c r="G394" s="178">
        <v>2234</v>
      </c>
      <c r="H394" s="178">
        <v>1022</v>
      </c>
      <c r="I394" s="178">
        <v>1212</v>
      </c>
    </row>
    <row r="395" spans="1:9">
      <c r="A395" s="179" t="s">
        <v>423</v>
      </c>
      <c r="B395" s="179" t="s">
        <v>517</v>
      </c>
      <c r="C395" s="186">
        <v>39104</v>
      </c>
      <c r="D395" s="188">
        <f t="shared" si="9"/>
        <v>2007</v>
      </c>
      <c r="E395" s="183" t="s">
        <v>525</v>
      </c>
      <c r="F395" s="178">
        <v>800</v>
      </c>
      <c r="G395" s="178">
        <v>15488</v>
      </c>
      <c r="H395" s="178">
        <v>6776</v>
      </c>
      <c r="I395" s="178">
        <v>8712</v>
      </c>
    </row>
    <row r="396" spans="1:9">
      <c r="A396" s="179" t="s">
        <v>423</v>
      </c>
      <c r="B396" s="179" t="s">
        <v>518</v>
      </c>
      <c r="C396" s="186">
        <v>39104</v>
      </c>
      <c r="D396" s="188">
        <f t="shared" si="9"/>
        <v>2007</v>
      </c>
      <c r="E396" s="183" t="s">
        <v>531</v>
      </c>
      <c r="F396" s="178">
        <v>100</v>
      </c>
      <c r="G396" s="178">
        <v>2178</v>
      </c>
      <c r="H396" s="178">
        <v>1022</v>
      </c>
      <c r="I396" s="178">
        <v>1156</v>
      </c>
    </row>
    <row r="397" spans="1:9">
      <c r="A397" s="179" t="s">
        <v>429</v>
      </c>
      <c r="B397" s="179" t="s">
        <v>516</v>
      </c>
      <c r="C397" s="186">
        <v>39107</v>
      </c>
      <c r="D397" s="188">
        <f t="shared" si="9"/>
        <v>2007</v>
      </c>
      <c r="E397" s="183" t="s">
        <v>533</v>
      </c>
      <c r="F397" s="178">
        <v>700</v>
      </c>
      <c r="G397" s="178">
        <v>17150</v>
      </c>
      <c r="H397" s="178">
        <v>6888</v>
      </c>
      <c r="I397" s="178">
        <v>10262</v>
      </c>
    </row>
    <row r="398" spans="1:9">
      <c r="A398" s="179" t="s">
        <v>423</v>
      </c>
      <c r="B398" s="179" t="s">
        <v>516</v>
      </c>
      <c r="C398" s="186">
        <v>39108</v>
      </c>
      <c r="D398" s="188">
        <f t="shared" si="9"/>
        <v>2007</v>
      </c>
      <c r="E398" s="183" t="s">
        <v>525</v>
      </c>
      <c r="F398" s="178">
        <v>800</v>
      </c>
      <c r="G398" s="178">
        <v>16936</v>
      </c>
      <c r="H398" s="178">
        <v>7872</v>
      </c>
      <c r="I398" s="178">
        <v>9064</v>
      </c>
    </row>
    <row r="399" spans="1:9">
      <c r="A399" s="179" t="s">
        <v>429</v>
      </c>
      <c r="B399" s="179" t="s">
        <v>516</v>
      </c>
      <c r="C399" s="186">
        <v>39109</v>
      </c>
      <c r="D399" s="188">
        <f t="shared" si="9"/>
        <v>2007</v>
      </c>
      <c r="E399" s="183" t="s">
        <v>523</v>
      </c>
      <c r="F399" s="178">
        <v>900</v>
      </c>
      <c r="G399" s="178">
        <v>21708</v>
      </c>
      <c r="H399" s="178">
        <v>8856</v>
      </c>
      <c r="I399" s="178">
        <v>12852</v>
      </c>
    </row>
    <row r="400" spans="1:9">
      <c r="A400" s="179" t="s">
        <v>423</v>
      </c>
      <c r="B400" s="179" t="s">
        <v>517</v>
      </c>
      <c r="C400" s="186">
        <v>39110</v>
      </c>
      <c r="D400" s="188">
        <f t="shared" si="9"/>
        <v>2007</v>
      </c>
      <c r="E400" s="183" t="s">
        <v>532</v>
      </c>
      <c r="F400" s="178">
        <v>300</v>
      </c>
      <c r="G400" s="178">
        <v>5532</v>
      </c>
      <c r="H400" s="178">
        <v>2541</v>
      </c>
      <c r="I400" s="178">
        <v>2991</v>
      </c>
    </row>
    <row r="401" spans="1:9">
      <c r="A401" s="179" t="s">
        <v>429</v>
      </c>
      <c r="B401" s="179" t="s">
        <v>516</v>
      </c>
      <c r="C401" s="186">
        <v>39114</v>
      </c>
      <c r="D401" s="188">
        <f t="shared" si="9"/>
        <v>2007</v>
      </c>
      <c r="E401" s="183" t="s">
        <v>524</v>
      </c>
      <c r="F401" s="178">
        <v>100</v>
      </c>
      <c r="G401" s="178">
        <v>2054</v>
      </c>
      <c r="H401" s="178">
        <v>984</v>
      </c>
      <c r="I401" s="178">
        <v>1070</v>
      </c>
    </row>
    <row r="402" spans="1:9">
      <c r="A402" s="179" t="s">
        <v>528</v>
      </c>
      <c r="B402" s="179" t="s">
        <v>518</v>
      </c>
      <c r="C402" s="186">
        <v>39116</v>
      </c>
      <c r="D402" s="188">
        <f t="shared" si="9"/>
        <v>2007</v>
      </c>
      <c r="E402" s="183" t="s">
        <v>525</v>
      </c>
      <c r="F402" s="178">
        <v>400</v>
      </c>
      <c r="G402" s="178">
        <v>10044</v>
      </c>
      <c r="H402" s="178">
        <v>4088</v>
      </c>
      <c r="I402" s="178">
        <v>5956</v>
      </c>
    </row>
    <row r="403" spans="1:9">
      <c r="A403" s="179" t="s">
        <v>429</v>
      </c>
      <c r="B403" s="179" t="s">
        <v>518</v>
      </c>
      <c r="C403" s="186">
        <v>39121</v>
      </c>
      <c r="D403" s="188">
        <f t="shared" si="9"/>
        <v>2007</v>
      </c>
      <c r="E403" s="183" t="s">
        <v>523</v>
      </c>
      <c r="F403" s="178">
        <v>200</v>
      </c>
      <c r="G403" s="178">
        <v>4784</v>
      </c>
      <c r="H403" s="178">
        <v>2044</v>
      </c>
      <c r="I403" s="178">
        <v>2740</v>
      </c>
    </row>
    <row r="404" spans="1:9">
      <c r="A404" s="179" t="s">
        <v>528</v>
      </c>
      <c r="B404" s="179" t="s">
        <v>518</v>
      </c>
      <c r="C404" s="186">
        <v>39122</v>
      </c>
      <c r="D404" s="188">
        <f t="shared" si="9"/>
        <v>2007</v>
      </c>
      <c r="E404" s="183" t="s">
        <v>536</v>
      </c>
      <c r="F404" s="178">
        <v>200</v>
      </c>
      <c r="G404" s="178">
        <v>4614</v>
      </c>
      <c r="H404" s="178">
        <v>2044</v>
      </c>
      <c r="I404" s="178">
        <v>2570</v>
      </c>
    </row>
    <row r="405" spans="1:9">
      <c r="A405" s="179" t="s">
        <v>423</v>
      </c>
      <c r="B405" s="179" t="s">
        <v>518</v>
      </c>
      <c r="C405" s="186">
        <v>39123</v>
      </c>
      <c r="D405" s="188">
        <f t="shared" si="9"/>
        <v>2007</v>
      </c>
      <c r="E405" s="183" t="s">
        <v>525</v>
      </c>
      <c r="F405" s="178">
        <v>300</v>
      </c>
      <c r="G405" s="178">
        <v>6765</v>
      </c>
      <c r="H405" s="178">
        <v>3066</v>
      </c>
      <c r="I405" s="178">
        <v>3699</v>
      </c>
    </row>
    <row r="406" spans="1:9">
      <c r="A406" s="179" t="s">
        <v>423</v>
      </c>
      <c r="B406" s="179" t="s">
        <v>517</v>
      </c>
      <c r="C406" s="186">
        <v>39125</v>
      </c>
      <c r="D406" s="188">
        <f t="shared" si="9"/>
        <v>2007</v>
      </c>
      <c r="E406" s="183" t="s">
        <v>525</v>
      </c>
      <c r="F406" s="178">
        <v>700</v>
      </c>
      <c r="G406" s="178">
        <v>13412</v>
      </c>
      <c r="H406" s="178">
        <v>5929</v>
      </c>
      <c r="I406" s="178">
        <v>7483</v>
      </c>
    </row>
    <row r="407" spans="1:9">
      <c r="A407" s="179" t="s">
        <v>528</v>
      </c>
      <c r="B407" s="179" t="s">
        <v>516</v>
      </c>
      <c r="C407" s="186">
        <v>39125</v>
      </c>
      <c r="D407" s="188">
        <f t="shared" si="9"/>
        <v>2007</v>
      </c>
      <c r="E407" s="183" t="s">
        <v>523</v>
      </c>
      <c r="F407" s="178">
        <v>600</v>
      </c>
      <c r="G407" s="178">
        <v>12888</v>
      </c>
      <c r="H407" s="178">
        <v>5904</v>
      </c>
      <c r="I407" s="178">
        <v>6984</v>
      </c>
    </row>
    <row r="408" spans="1:9">
      <c r="A408" s="179" t="s">
        <v>429</v>
      </c>
      <c r="B408" s="179" t="s">
        <v>518</v>
      </c>
      <c r="C408" s="186">
        <v>39126</v>
      </c>
      <c r="D408" s="188">
        <f t="shared" si="9"/>
        <v>2007</v>
      </c>
      <c r="E408" s="183" t="s">
        <v>530</v>
      </c>
      <c r="F408" s="178">
        <v>1000</v>
      </c>
      <c r="G408" s="178">
        <v>22020</v>
      </c>
      <c r="H408" s="178">
        <v>10220</v>
      </c>
      <c r="I408" s="178">
        <v>11800</v>
      </c>
    </row>
    <row r="409" spans="1:9">
      <c r="A409" s="179" t="s">
        <v>528</v>
      </c>
      <c r="B409" s="179" t="s">
        <v>517</v>
      </c>
      <c r="C409" s="186">
        <v>39127</v>
      </c>
      <c r="D409" s="188">
        <f t="shared" si="9"/>
        <v>2007</v>
      </c>
      <c r="E409" s="183" t="s">
        <v>529</v>
      </c>
      <c r="F409" s="178">
        <v>700</v>
      </c>
      <c r="G409" s="178">
        <v>13552</v>
      </c>
      <c r="H409" s="178">
        <v>5929</v>
      </c>
      <c r="I409" s="178">
        <v>7623</v>
      </c>
    </row>
    <row r="410" spans="1:9">
      <c r="A410" s="179" t="s">
        <v>429</v>
      </c>
      <c r="B410" s="179" t="s">
        <v>516</v>
      </c>
      <c r="C410" s="186">
        <v>39131</v>
      </c>
      <c r="D410" s="188">
        <f t="shared" si="9"/>
        <v>2007</v>
      </c>
      <c r="E410" s="183" t="s">
        <v>534</v>
      </c>
      <c r="F410" s="178">
        <v>500</v>
      </c>
      <c r="G410" s="178">
        <v>11860</v>
      </c>
      <c r="H410" s="178">
        <v>4920</v>
      </c>
      <c r="I410" s="178">
        <v>6940</v>
      </c>
    </row>
    <row r="411" spans="1:9">
      <c r="A411" s="179" t="s">
        <v>429</v>
      </c>
      <c r="B411" s="179" t="s">
        <v>518</v>
      </c>
      <c r="C411" s="186">
        <v>39135</v>
      </c>
      <c r="D411" s="188">
        <f t="shared" si="9"/>
        <v>2007</v>
      </c>
      <c r="E411" s="183" t="s">
        <v>525</v>
      </c>
      <c r="F411" s="178">
        <v>200</v>
      </c>
      <c r="G411" s="178">
        <v>4124</v>
      </c>
      <c r="H411" s="178">
        <v>2044</v>
      </c>
      <c r="I411" s="178">
        <v>2080</v>
      </c>
    </row>
    <row r="412" spans="1:9">
      <c r="A412" s="179" t="s">
        <v>429</v>
      </c>
      <c r="B412" s="179" t="s">
        <v>516</v>
      </c>
      <c r="C412" s="186">
        <v>39135</v>
      </c>
      <c r="D412" s="188">
        <f t="shared" si="9"/>
        <v>2007</v>
      </c>
      <c r="E412" s="183" t="s">
        <v>533</v>
      </c>
      <c r="F412" s="178">
        <v>100</v>
      </c>
      <c r="G412" s="178">
        <v>2106</v>
      </c>
      <c r="H412" s="178">
        <v>984</v>
      </c>
      <c r="I412" s="178">
        <v>1122</v>
      </c>
    </row>
    <row r="413" spans="1:9">
      <c r="A413" s="179" t="s">
        <v>528</v>
      </c>
      <c r="B413" s="179" t="s">
        <v>518</v>
      </c>
      <c r="C413" s="186">
        <v>39141</v>
      </c>
      <c r="D413" s="188">
        <f t="shared" si="9"/>
        <v>2007</v>
      </c>
      <c r="E413" s="183" t="s">
        <v>550</v>
      </c>
      <c r="F413" s="178">
        <v>100</v>
      </c>
      <c r="G413" s="178">
        <v>2484</v>
      </c>
      <c r="H413" s="178">
        <v>1022</v>
      </c>
      <c r="I413" s="178">
        <v>1462</v>
      </c>
    </row>
    <row r="414" spans="1:9">
      <c r="A414" s="179" t="s">
        <v>429</v>
      </c>
      <c r="B414" s="179" t="s">
        <v>518</v>
      </c>
      <c r="C414" s="186">
        <v>39143</v>
      </c>
      <c r="D414" s="188">
        <f t="shared" si="9"/>
        <v>2007</v>
      </c>
      <c r="E414" s="183" t="s">
        <v>534</v>
      </c>
      <c r="F414" s="178">
        <v>300</v>
      </c>
      <c r="G414" s="178">
        <v>6732</v>
      </c>
      <c r="H414" s="178">
        <v>3066</v>
      </c>
      <c r="I414" s="178">
        <v>3666</v>
      </c>
    </row>
    <row r="415" spans="1:9">
      <c r="A415" s="179" t="s">
        <v>429</v>
      </c>
      <c r="B415" s="179" t="s">
        <v>518</v>
      </c>
      <c r="C415" s="186">
        <v>39150</v>
      </c>
      <c r="D415" s="188">
        <f t="shared" si="9"/>
        <v>2007</v>
      </c>
      <c r="E415" s="183" t="s">
        <v>532</v>
      </c>
      <c r="F415" s="178">
        <v>700</v>
      </c>
      <c r="G415" s="178">
        <v>15715</v>
      </c>
      <c r="H415" s="178">
        <v>7154</v>
      </c>
      <c r="I415" s="178">
        <v>8561</v>
      </c>
    </row>
    <row r="416" spans="1:9">
      <c r="A416" s="179" t="s">
        <v>429</v>
      </c>
      <c r="B416" s="179" t="s">
        <v>517</v>
      </c>
      <c r="C416" s="186">
        <v>39152</v>
      </c>
      <c r="D416" s="188">
        <f t="shared" si="9"/>
        <v>2007</v>
      </c>
      <c r="E416" s="183" t="s">
        <v>537</v>
      </c>
      <c r="F416" s="178">
        <v>700</v>
      </c>
      <c r="G416" s="178">
        <v>14133</v>
      </c>
      <c r="H416" s="178">
        <v>5929</v>
      </c>
      <c r="I416" s="178">
        <v>8204</v>
      </c>
    </row>
    <row r="417" spans="1:9">
      <c r="A417" s="179" t="s">
        <v>429</v>
      </c>
      <c r="B417" s="179" t="s">
        <v>516</v>
      </c>
      <c r="C417" s="186">
        <v>39153</v>
      </c>
      <c r="D417" s="188">
        <f t="shared" si="9"/>
        <v>2007</v>
      </c>
      <c r="E417" s="183" t="s">
        <v>525</v>
      </c>
      <c r="F417" s="178">
        <v>600</v>
      </c>
      <c r="G417" s="178">
        <v>12690</v>
      </c>
      <c r="H417" s="178">
        <v>5904</v>
      </c>
      <c r="I417" s="178">
        <v>6786</v>
      </c>
    </row>
    <row r="418" spans="1:9">
      <c r="A418" s="179" t="s">
        <v>528</v>
      </c>
      <c r="B418" s="179" t="s">
        <v>518</v>
      </c>
      <c r="C418" s="186">
        <v>39153</v>
      </c>
      <c r="D418" s="188">
        <f t="shared" si="9"/>
        <v>2007</v>
      </c>
      <c r="E418" s="183" t="s">
        <v>531</v>
      </c>
      <c r="F418" s="178">
        <v>900</v>
      </c>
      <c r="G418" s="178">
        <v>21159</v>
      </c>
      <c r="H418" s="178">
        <v>9198</v>
      </c>
      <c r="I418" s="178">
        <v>11961</v>
      </c>
    </row>
    <row r="419" spans="1:9">
      <c r="A419" s="179" t="s">
        <v>423</v>
      </c>
      <c r="B419" s="179" t="s">
        <v>516</v>
      </c>
      <c r="C419" s="186">
        <v>39153</v>
      </c>
      <c r="D419" s="188">
        <f t="shared" si="9"/>
        <v>2007</v>
      </c>
      <c r="E419" s="183" t="s">
        <v>534</v>
      </c>
      <c r="F419" s="178">
        <v>1000</v>
      </c>
      <c r="G419" s="178">
        <v>20190</v>
      </c>
      <c r="H419" s="178">
        <v>9840</v>
      </c>
      <c r="I419" s="178">
        <v>10350</v>
      </c>
    </row>
    <row r="420" spans="1:9">
      <c r="A420" s="179" t="s">
        <v>423</v>
      </c>
      <c r="B420" s="179" t="s">
        <v>516</v>
      </c>
      <c r="C420" s="186">
        <v>39154</v>
      </c>
      <c r="D420" s="188">
        <f t="shared" si="9"/>
        <v>2007</v>
      </c>
      <c r="E420" s="183" t="s">
        <v>531</v>
      </c>
      <c r="F420" s="178">
        <v>200</v>
      </c>
      <c r="G420" s="178">
        <v>4412</v>
      </c>
      <c r="H420" s="178">
        <v>1968</v>
      </c>
      <c r="I420" s="178">
        <v>2444</v>
      </c>
    </row>
    <row r="421" spans="1:9">
      <c r="A421" s="179" t="s">
        <v>429</v>
      </c>
      <c r="B421" s="179" t="s">
        <v>518</v>
      </c>
      <c r="C421" s="186">
        <v>39155</v>
      </c>
      <c r="D421" s="188">
        <f t="shared" si="9"/>
        <v>2007</v>
      </c>
      <c r="E421" s="183" t="s">
        <v>533</v>
      </c>
      <c r="F421" s="178">
        <v>700</v>
      </c>
      <c r="G421" s="178">
        <v>17059</v>
      </c>
      <c r="H421" s="178">
        <v>7154</v>
      </c>
      <c r="I421" s="178">
        <v>9905</v>
      </c>
    </row>
    <row r="422" spans="1:9">
      <c r="A422" s="179" t="s">
        <v>429</v>
      </c>
      <c r="B422" s="179" t="s">
        <v>518</v>
      </c>
      <c r="C422" s="186">
        <v>39156</v>
      </c>
      <c r="D422" s="188">
        <f t="shared" si="9"/>
        <v>2007</v>
      </c>
      <c r="E422" s="183" t="s">
        <v>525</v>
      </c>
      <c r="F422" s="178">
        <v>500</v>
      </c>
      <c r="G422" s="178">
        <v>10990</v>
      </c>
      <c r="H422" s="178">
        <v>5110</v>
      </c>
      <c r="I422" s="178">
        <v>5880</v>
      </c>
    </row>
    <row r="423" spans="1:9">
      <c r="A423" s="179" t="s">
        <v>528</v>
      </c>
      <c r="B423" s="179" t="s">
        <v>517</v>
      </c>
      <c r="C423" s="186">
        <v>39156</v>
      </c>
      <c r="D423" s="188">
        <f t="shared" si="9"/>
        <v>2007</v>
      </c>
      <c r="E423" s="183" t="s">
        <v>533</v>
      </c>
      <c r="F423" s="178">
        <v>1000</v>
      </c>
      <c r="G423" s="178">
        <v>17200</v>
      </c>
      <c r="H423" s="178">
        <v>8470</v>
      </c>
      <c r="I423" s="178">
        <v>8730</v>
      </c>
    </row>
    <row r="424" spans="1:9">
      <c r="A424" s="179" t="s">
        <v>429</v>
      </c>
      <c r="B424" s="179" t="s">
        <v>517</v>
      </c>
      <c r="C424" s="186">
        <v>39156</v>
      </c>
      <c r="D424" s="188">
        <f t="shared" si="9"/>
        <v>2007</v>
      </c>
      <c r="E424" s="183" t="s">
        <v>532</v>
      </c>
      <c r="F424" s="178">
        <v>700</v>
      </c>
      <c r="G424" s="178">
        <v>13139</v>
      </c>
      <c r="H424" s="178">
        <v>5929</v>
      </c>
      <c r="I424" s="178">
        <v>7210</v>
      </c>
    </row>
    <row r="425" spans="1:9">
      <c r="A425" s="179" t="s">
        <v>423</v>
      </c>
      <c r="B425" s="179" t="s">
        <v>517</v>
      </c>
      <c r="C425" s="186">
        <v>39157</v>
      </c>
      <c r="D425" s="188">
        <f t="shared" si="9"/>
        <v>2007</v>
      </c>
      <c r="E425" s="183" t="s">
        <v>532</v>
      </c>
      <c r="F425" s="178">
        <v>300</v>
      </c>
      <c r="G425" s="178">
        <v>6207</v>
      </c>
      <c r="H425" s="178">
        <v>2541</v>
      </c>
      <c r="I425" s="178">
        <v>3666</v>
      </c>
    </row>
    <row r="426" spans="1:9">
      <c r="A426" s="179" t="s">
        <v>528</v>
      </c>
      <c r="B426" s="179" t="s">
        <v>516</v>
      </c>
      <c r="C426" s="186">
        <v>39159</v>
      </c>
      <c r="D426" s="188">
        <f t="shared" si="9"/>
        <v>2007</v>
      </c>
      <c r="E426" s="183" t="s">
        <v>544</v>
      </c>
      <c r="F426" s="178">
        <v>200</v>
      </c>
      <c r="G426" s="178">
        <v>4270</v>
      </c>
      <c r="H426" s="178">
        <v>1968</v>
      </c>
      <c r="I426" s="178">
        <v>2302</v>
      </c>
    </row>
    <row r="427" spans="1:9">
      <c r="A427" s="179" t="s">
        <v>528</v>
      </c>
      <c r="B427" s="179" t="s">
        <v>516</v>
      </c>
      <c r="C427" s="186">
        <v>39161</v>
      </c>
      <c r="D427" s="188">
        <f t="shared" si="9"/>
        <v>2007</v>
      </c>
      <c r="E427" s="183" t="s">
        <v>532</v>
      </c>
      <c r="F427" s="178">
        <v>600</v>
      </c>
      <c r="G427" s="178">
        <v>14004</v>
      </c>
      <c r="H427" s="178">
        <v>5904</v>
      </c>
      <c r="I427" s="178">
        <v>8100</v>
      </c>
    </row>
    <row r="428" spans="1:9">
      <c r="A428" s="179" t="s">
        <v>429</v>
      </c>
      <c r="B428" s="179" t="s">
        <v>516</v>
      </c>
      <c r="C428" s="186">
        <v>39161</v>
      </c>
      <c r="D428" s="188">
        <f t="shared" si="9"/>
        <v>2007</v>
      </c>
      <c r="E428" s="183" t="s">
        <v>532</v>
      </c>
      <c r="F428" s="178">
        <v>900</v>
      </c>
      <c r="G428" s="178">
        <v>20403</v>
      </c>
      <c r="H428" s="178">
        <v>8856</v>
      </c>
      <c r="I428" s="178">
        <v>11547</v>
      </c>
    </row>
    <row r="429" spans="1:9">
      <c r="A429" s="179" t="s">
        <v>528</v>
      </c>
      <c r="B429" s="179" t="s">
        <v>516</v>
      </c>
      <c r="C429" s="186">
        <v>39167</v>
      </c>
      <c r="D429" s="188">
        <f t="shared" si="9"/>
        <v>2007</v>
      </c>
      <c r="E429" s="183" t="s">
        <v>525</v>
      </c>
      <c r="F429" s="178">
        <v>1000</v>
      </c>
      <c r="G429" s="178">
        <v>20020</v>
      </c>
      <c r="H429" s="178">
        <v>9840</v>
      </c>
      <c r="I429" s="178">
        <v>10180</v>
      </c>
    </row>
    <row r="430" spans="1:9">
      <c r="A430" s="179" t="s">
        <v>423</v>
      </c>
      <c r="B430" s="179" t="s">
        <v>517</v>
      </c>
      <c r="C430" s="186">
        <v>39170</v>
      </c>
      <c r="D430" s="188">
        <f t="shared" si="9"/>
        <v>2007</v>
      </c>
      <c r="E430" s="183" t="s">
        <v>529</v>
      </c>
      <c r="F430" s="178">
        <v>800</v>
      </c>
      <c r="G430" s="178">
        <v>14216</v>
      </c>
      <c r="H430" s="178">
        <v>6776</v>
      </c>
      <c r="I430" s="178">
        <v>7440</v>
      </c>
    </row>
    <row r="431" spans="1:9">
      <c r="A431" s="179" t="s">
        <v>429</v>
      </c>
      <c r="B431" s="179" t="s">
        <v>516</v>
      </c>
      <c r="C431" s="186">
        <v>39172</v>
      </c>
      <c r="D431" s="188">
        <f t="shared" si="9"/>
        <v>2007</v>
      </c>
      <c r="E431" s="183" t="s">
        <v>532</v>
      </c>
      <c r="F431" s="178">
        <v>700</v>
      </c>
      <c r="G431" s="178">
        <v>16772</v>
      </c>
      <c r="H431" s="178">
        <v>6888</v>
      </c>
      <c r="I431" s="178">
        <v>9884</v>
      </c>
    </row>
    <row r="432" spans="1:9">
      <c r="A432" s="179" t="s">
        <v>429</v>
      </c>
      <c r="B432" s="179" t="s">
        <v>518</v>
      </c>
      <c r="C432" s="186">
        <v>39173</v>
      </c>
      <c r="D432" s="188">
        <f t="shared" si="9"/>
        <v>2007</v>
      </c>
      <c r="E432" s="183" t="s">
        <v>539</v>
      </c>
      <c r="F432" s="178">
        <v>900</v>
      </c>
      <c r="G432" s="178">
        <v>21015</v>
      </c>
      <c r="H432" s="178">
        <v>9198</v>
      </c>
      <c r="I432" s="178">
        <v>11817</v>
      </c>
    </row>
    <row r="433" spans="1:9">
      <c r="A433" s="179" t="s">
        <v>423</v>
      </c>
      <c r="B433" s="179" t="s">
        <v>517</v>
      </c>
      <c r="C433" s="186">
        <v>39174</v>
      </c>
      <c r="D433" s="188">
        <f t="shared" si="9"/>
        <v>2007</v>
      </c>
      <c r="E433" s="183" t="s">
        <v>550</v>
      </c>
      <c r="F433" s="178">
        <v>200</v>
      </c>
      <c r="G433" s="178">
        <v>3552</v>
      </c>
      <c r="H433" s="178">
        <v>1694</v>
      </c>
      <c r="I433" s="178">
        <v>1858</v>
      </c>
    </row>
    <row r="434" spans="1:9">
      <c r="A434" s="179" t="s">
        <v>423</v>
      </c>
      <c r="B434" s="179" t="s">
        <v>518</v>
      </c>
      <c r="C434" s="186">
        <v>39177</v>
      </c>
      <c r="D434" s="188">
        <f t="shared" si="9"/>
        <v>2007</v>
      </c>
      <c r="E434" s="183" t="s">
        <v>530</v>
      </c>
      <c r="F434" s="178">
        <v>1000</v>
      </c>
      <c r="G434" s="178">
        <v>25010</v>
      </c>
      <c r="H434" s="178">
        <v>10220</v>
      </c>
      <c r="I434" s="178">
        <v>14790</v>
      </c>
    </row>
    <row r="435" spans="1:9">
      <c r="A435" s="179" t="s">
        <v>429</v>
      </c>
      <c r="B435" s="179" t="s">
        <v>518</v>
      </c>
      <c r="C435" s="186">
        <v>39178</v>
      </c>
      <c r="D435" s="188">
        <f t="shared" si="9"/>
        <v>2007</v>
      </c>
      <c r="E435" s="183" t="s">
        <v>531</v>
      </c>
      <c r="F435" s="178">
        <v>600</v>
      </c>
      <c r="G435" s="178">
        <v>14178</v>
      </c>
      <c r="H435" s="178">
        <v>6132</v>
      </c>
      <c r="I435" s="178">
        <v>8046</v>
      </c>
    </row>
    <row r="436" spans="1:9">
      <c r="A436" s="179" t="s">
        <v>528</v>
      </c>
      <c r="B436" s="179" t="s">
        <v>516</v>
      </c>
      <c r="C436" s="186">
        <v>39179</v>
      </c>
      <c r="D436" s="188">
        <f t="shared" si="9"/>
        <v>2007</v>
      </c>
      <c r="E436" s="183" t="s">
        <v>523</v>
      </c>
      <c r="F436" s="178">
        <v>200</v>
      </c>
      <c r="G436" s="178">
        <v>4280</v>
      </c>
      <c r="H436" s="178">
        <v>1968</v>
      </c>
      <c r="I436" s="178">
        <v>2312</v>
      </c>
    </row>
    <row r="437" spans="1:9">
      <c r="A437" s="179" t="s">
        <v>528</v>
      </c>
      <c r="B437" s="179" t="s">
        <v>518</v>
      </c>
      <c r="C437" s="186">
        <v>39179</v>
      </c>
      <c r="D437" s="188">
        <f t="shared" si="9"/>
        <v>2007</v>
      </c>
      <c r="E437" s="183" t="s">
        <v>534</v>
      </c>
      <c r="F437" s="178">
        <v>900</v>
      </c>
      <c r="G437" s="178">
        <v>21366</v>
      </c>
      <c r="H437" s="178">
        <v>9198</v>
      </c>
      <c r="I437" s="178">
        <v>12168</v>
      </c>
    </row>
    <row r="438" spans="1:9">
      <c r="A438" s="179" t="s">
        <v>423</v>
      </c>
      <c r="B438" s="179" t="s">
        <v>517</v>
      </c>
      <c r="C438" s="186">
        <v>39179</v>
      </c>
      <c r="D438" s="188">
        <f t="shared" si="9"/>
        <v>2007</v>
      </c>
      <c r="E438" s="183" t="s">
        <v>548</v>
      </c>
      <c r="F438" s="178">
        <v>1000</v>
      </c>
      <c r="G438" s="178">
        <v>17190</v>
      </c>
      <c r="H438" s="178">
        <v>8470</v>
      </c>
      <c r="I438" s="178">
        <v>8720</v>
      </c>
    </row>
    <row r="439" spans="1:9">
      <c r="A439" s="179" t="s">
        <v>528</v>
      </c>
      <c r="B439" s="179" t="s">
        <v>517</v>
      </c>
      <c r="C439" s="186">
        <v>39182</v>
      </c>
      <c r="D439" s="188">
        <f t="shared" si="9"/>
        <v>2007</v>
      </c>
      <c r="E439" s="183" t="s">
        <v>524</v>
      </c>
      <c r="F439" s="178">
        <v>300</v>
      </c>
      <c r="G439" s="178">
        <v>6309</v>
      </c>
      <c r="H439" s="178">
        <v>2541</v>
      </c>
      <c r="I439" s="178">
        <v>3768</v>
      </c>
    </row>
    <row r="440" spans="1:9">
      <c r="A440" s="179" t="s">
        <v>429</v>
      </c>
      <c r="B440" s="179" t="s">
        <v>516</v>
      </c>
      <c r="C440" s="186">
        <v>39182</v>
      </c>
      <c r="D440" s="188">
        <f t="shared" si="9"/>
        <v>2007</v>
      </c>
      <c r="E440" s="183" t="s">
        <v>532</v>
      </c>
      <c r="F440" s="178">
        <v>300</v>
      </c>
      <c r="G440" s="178">
        <v>6477</v>
      </c>
      <c r="H440" s="178">
        <v>2952</v>
      </c>
      <c r="I440" s="178">
        <v>3525</v>
      </c>
    </row>
    <row r="441" spans="1:9">
      <c r="A441" s="179" t="s">
        <v>528</v>
      </c>
      <c r="B441" s="179" t="s">
        <v>517</v>
      </c>
      <c r="C441" s="186">
        <v>39183</v>
      </c>
      <c r="D441" s="188">
        <f t="shared" si="9"/>
        <v>2007</v>
      </c>
      <c r="E441" s="183" t="s">
        <v>532</v>
      </c>
      <c r="F441" s="178">
        <v>100</v>
      </c>
      <c r="G441" s="178">
        <v>2012</v>
      </c>
      <c r="H441" s="178">
        <v>847</v>
      </c>
      <c r="I441" s="178">
        <v>1165</v>
      </c>
    </row>
    <row r="442" spans="1:9">
      <c r="A442" s="179" t="s">
        <v>429</v>
      </c>
      <c r="B442" s="179" t="s">
        <v>516</v>
      </c>
      <c r="C442" s="186">
        <v>39186</v>
      </c>
      <c r="D442" s="188">
        <f t="shared" si="9"/>
        <v>2007</v>
      </c>
      <c r="E442" s="183" t="s">
        <v>531</v>
      </c>
      <c r="F442" s="178">
        <v>400</v>
      </c>
      <c r="G442" s="178">
        <v>8632</v>
      </c>
      <c r="H442" s="178">
        <v>3936</v>
      </c>
      <c r="I442" s="178">
        <v>4696</v>
      </c>
    </row>
    <row r="443" spans="1:9">
      <c r="A443" s="179" t="s">
        <v>429</v>
      </c>
      <c r="B443" s="179" t="s">
        <v>516</v>
      </c>
      <c r="C443" s="186">
        <v>39187</v>
      </c>
      <c r="D443" s="188">
        <f t="shared" si="9"/>
        <v>2007</v>
      </c>
      <c r="E443" s="183" t="s">
        <v>525</v>
      </c>
      <c r="F443" s="178">
        <v>600</v>
      </c>
      <c r="G443" s="178">
        <v>12756</v>
      </c>
      <c r="H443" s="178">
        <v>5904</v>
      </c>
      <c r="I443" s="178">
        <v>6852</v>
      </c>
    </row>
    <row r="444" spans="1:9">
      <c r="A444" s="179" t="s">
        <v>429</v>
      </c>
      <c r="B444" s="179" t="s">
        <v>518</v>
      </c>
      <c r="C444" s="186">
        <v>39198</v>
      </c>
      <c r="D444" s="188">
        <f t="shared" si="9"/>
        <v>2007</v>
      </c>
      <c r="E444" s="183" t="s">
        <v>537</v>
      </c>
      <c r="F444" s="178">
        <v>700</v>
      </c>
      <c r="G444" s="178">
        <v>15225</v>
      </c>
      <c r="H444" s="178">
        <v>7154</v>
      </c>
      <c r="I444" s="178">
        <v>8071</v>
      </c>
    </row>
    <row r="445" spans="1:9">
      <c r="A445" s="179" t="s">
        <v>423</v>
      </c>
      <c r="B445" s="179" t="s">
        <v>518</v>
      </c>
      <c r="C445" s="186">
        <v>39198</v>
      </c>
      <c r="D445" s="188">
        <f t="shared" si="9"/>
        <v>2007</v>
      </c>
      <c r="E445" s="183" t="s">
        <v>537</v>
      </c>
      <c r="F445" s="178">
        <v>800</v>
      </c>
      <c r="G445" s="178">
        <v>19288</v>
      </c>
      <c r="H445" s="178">
        <v>8176</v>
      </c>
      <c r="I445" s="178">
        <v>11112</v>
      </c>
    </row>
    <row r="446" spans="1:9">
      <c r="A446" s="179" t="s">
        <v>423</v>
      </c>
      <c r="B446" s="179" t="s">
        <v>518</v>
      </c>
      <c r="C446" s="186">
        <v>39200</v>
      </c>
      <c r="D446" s="188">
        <f t="shared" si="9"/>
        <v>2007</v>
      </c>
      <c r="E446" s="183" t="s">
        <v>538</v>
      </c>
      <c r="F446" s="178">
        <v>800</v>
      </c>
      <c r="G446" s="178">
        <v>20408</v>
      </c>
      <c r="H446" s="178">
        <v>8176</v>
      </c>
      <c r="I446" s="178">
        <v>12232</v>
      </c>
    </row>
    <row r="447" spans="1:9">
      <c r="A447" s="179" t="s">
        <v>429</v>
      </c>
      <c r="B447" s="179" t="s">
        <v>517</v>
      </c>
      <c r="C447" s="186">
        <v>39201</v>
      </c>
      <c r="D447" s="188">
        <f t="shared" si="9"/>
        <v>2007</v>
      </c>
      <c r="E447" s="183" t="s">
        <v>531</v>
      </c>
      <c r="F447" s="178">
        <v>400</v>
      </c>
      <c r="G447" s="178">
        <v>8164</v>
      </c>
      <c r="H447" s="178">
        <v>3388</v>
      </c>
      <c r="I447" s="178">
        <v>4776</v>
      </c>
    </row>
    <row r="448" spans="1:9">
      <c r="A448" s="179" t="s">
        <v>528</v>
      </c>
      <c r="B448" s="179" t="s">
        <v>516</v>
      </c>
      <c r="C448" s="186">
        <v>39203</v>
      </c>
      <c r="D448" s="188">
        <f t="shared" si="9"/>
        <v>2007</v>
      </c>
      <c r="E448" s="183" t="s">
        <v>534</v>
      </c>
      <c r="F448" s="178">
        <v>800</v>
      </c>
      <c r="G448" s="178">
        <v>17944</v>
      </c>
      <c r="H448" s="178">
        <v>7872</v>
      </c>
      <c r="I448" s="178">
        <v>10072</v>
      </c>
    </row>
    <row r="449" spans="1:9">
      <c r="A449" s="179" t="s">
        <v>429</v>
      </c>
      <c r="B449" s="179" t="s">
        <v>518</v>
      </c>
      <c r="C449" s="186">
        <v>39206</v>
      </c>
      <c r="D449" s="188">
        <f t="shared" si="9"/>
        <v>2007</v>
      </c>
      <c r="E449" s="183" t="s">
        <v>530</v>
      </c>
      <c r="F449" s="178">
        <v>500</v>
      </c>
      <c r="G449" s="178">
        <v>10940</v>
      </c>
      <c r="H449" s="178">
        <v>5110</v>
      </c>
      <c r="I449" s="178">
        <v>5830</v>
      </c>
    </row>
    <row r="450" spans="1:9">
      <c r="A450" s="179" t="s">
        <v>528</v>
      </c>
      <c r="B450" s="179" t="s">
        <v>516</v>
      </c>
      <c r="C450" s="186">
        <v>39208</v>
      </c>
      <c r="D450" s="188">
        <f t="shared" ref="D450:D513" si="10">YEAR(C450)</f>
        <v>2007</v>
      </c>
      <c r="E450" s="183" t="s">
        <v>537</v>
      </c>
      <c r="F450" s="178">
        <v>1000</v>
      </c>
      <c r="G450" s="178">
        <v>23970</v>
      </c>
      <c r="H450" s="178">
        <v>9840</v>
      </c>
      <c r="I450" s="178">
        <v>14130</v>
      </c>
    </row>
    <row r="451" spans="1:9">
      <c r="A451" s="179" t="s">
        <v>423</v>
      </c>
      <c r="B451" s="179" t="s">
        <v>517</v>
      </c>
      <c r="C451" s="186">
        <v>39210</v>
      </c>
      <c r="D451" s="188">
        <f t="shared" si="10"/>
        <v>2007</v>
      </c>
      <c r="E451" s="183" t="s">
        <v>531</v>
      </c>
      <c r="F451" s="178">
        <v>700</v>
      </c>
      <c r="G451" s="178">
        <v>14105</v>
      </c>
      <c r="H451" s="178">
        <v>5929</v>
      </c>
      <c r="I451" s="178">
        <v>8176</v>
      </c>
    </row>
    <row r="452" spans="1:9">
      <c r="A452" s="179" t="s">
        <v>528</v>
      </c>
      <c r="B452" s="179" t="s">
        <v>518</v>
      </c>
      <c r="C452" s="186">
        <v>39211</v>
      </c>
      <c r="D452" s="188">
        <f t="shared" si="10"/>
        <v>2007</v>
      </c>
      <c r="E452" s="183" t="s">
        <v>529</v>
      </c>
      <c r="F452" s="178">
        <v>800</v>
      </c>
      <c r="G452" s="178">
        <v>18344</v>
      </c>
      <c r="H452" s="178">
        <v>8176</v>
      </c>
      <c r="I452" s="178">
        <v>10168</v>
      </c>
    </row>
    <row r="453" spans="1:9">
      <c r="A453" s="179" t="s">
        <v>423</v>
      </c>
      <c r="B453" s="179" t="s">
        <v>518</v>
      </c>
      <c r="C453" s="186">
        <v>39211</v>
      </c>
      <c r="D453" s="188">
        <f t="shared" si="10"/>
        <v>2007</v>
      </c>
      <c r="E453" s="183" t="s">
        <v>548</v>
      </c>
      <c r="F453" s="178">
        <v>1000</v>
      </c>
      <c r="G453" s="178">
        <v>23890</v>
      </c>
      <c r="H453" s="178">
        <v>10220</v>
      </c>
      <c r="I453" s="178">
        <v>13670</v>
      </c>
    </row>
    <row r="454" spans="1:9">
      <c r="A454" s="179" t="s">
        <v>429</v>
      </c>
      <c r="B454" s="179" t="s">
        <v>517</v>
      </c>
      <c r="C454" s="186">
        <v>39214</v>
      </c>
      <c r="D454" s="188">
        <f t="shared" si="10"/>
        <v>2007</v>
      </c>
      <c r="E454" s="183" t="s">
        <v>525</v>
      </c>
      <c r="F454" s="178">
        <v>1000</v>
      </c>
      <c r="G454" s="178">
        <v>20310</v>
      </c>
      <c r="H454" s="178">
        <v>8470</v>
      </c>
      <c r="I454" s="178">
        <v>11840</v>
      </c>
    </row>
    <row r="455" spans="1:9">
      <c r="A455" s="179" t="s">
        <v>423</v>
      </c>
      <c r="B455" s="179" t="s">
        <v>518</v>
      </c>
      <c r="C455" s="186">
        <v>39215</v>
      </c>
      <c r="D455" s="188">
        <f t="shared" si="10"/>
        <v>2007</v>
      </c>
      <c r="E455" s="183" t="s">
        <v>537</v>
      </c>
      <c r="F455" s="178">
        <v>400</v>
      </c>
      <c r="G455" s="178">
        <v>9384</v>
      </c>
      <c r="H455" s="178">
        <v>4088</v>
      </c>
      <c r="I455" s="178">
        <v>5296</v>
      </c>
    </row>
    <row r="456" spans="1:9">
      <c r="A456" s="179" t="s">
        <v>528</v>
      </c>
      <c r="B456" s="179" t="s">
        <v>517</v>
      </c>
      <c r="C456" s="186">
        <v>39217</v>
      </c>
      <c r="D456" s="188">
        <f t="shared" si="10"/>
        <v>2007</v>
      </c>
      <c r="E456" s="183" t="s">
        <v>532</v>
      </c>
      <c r="F456" s="178">
        <v>500</v>
      </c>
      <c r="G456" s="178">
        <v>10385</v>
      </c>
      <c r="H456" s="178">
        <v>4235</v>
      </c>
      <c r="I456" s="178">
        <v>6150</v>
      </c>
    </row>
    <row r="457" spans="1:9">
      <c r="A457" s="179" t="s">
        <v>528</v>
      </c>
      <c r="B457" s="179" t="s">
        <v>516</v>
      </c>
      <c r="C457" s="186">
        <v>39218</v>
      </c>
      <c r="D457" s="188">
        <f t="shared" si="10"/>
        <v>2007</v>
      </c>
      <c r="E457" s="183" t="s">
        <v>530</v>
      </c>
      <c r="F457" s="178">
        <v>300</v>
      </c>
      <c r="G457" s="178">
        <v>7053</v>
      </c>
      <c r="H457" s="178">
        <v>2952</v>
      </c>
      <c r="I457" s="178">
        <v>4101</v>
      </c>
    </row>
    <row r="458" spans="1:9">
      <c r="A458" s="179" t="s">
        <v>423</v>
      </c>
      <c r="B458" s="179" t="s">
        <v>517</v>
      </c>
      <c r="C458" s="186">
        <v>39218</v>
      </c>
      <c r="D458" s="188">
        <f t="shared" si="10"/>
        <v>2007</v>
      </c>
      <c r="E458" s="183" t="s">
        <v>530</v>
      </c>
      <c r="F458" s="178">
        <v>400</v>
      </c>
      <c r="G458" s="178">
        <v>8196</v>
      </c>
      <c r="H458" s="178">
        <v>3388</v>
      </c>
      <c r="I458" s="178">
        <v>4808</v>
      </c>
    </row>
    <row r="459" spans="1:9">
      <c r="A459" s="179" t="s">
        <v>423</v>
      </c>
      <c r="B459" s="179" t="s">
        <v>518</v>
      </c>
      <c r="C459" s="186">
        <v>39222</v>
      </c>
      <c r="D459" s="188">
        <f t="shared" si="10"/>
        <v>2007</v>
      </c>
      <c r="E459" s="183" t="s">
        <v>545</v>
      </c>
      <c r="F459" s="178">
        <v>800</v>
      </c>
      <c r="G459" s="178">
        <v>16936</v>
      </c>
      <c r="H459" s="178">
        <v>8176</v>
      </c>
      <c r="I459" s="178">
        <v>8760</v>
      </c>
    </row>
    <row r="460" spans="1:9">
      <c r="A460" s="179" t="s">
        <v>429</v>
      </c>
      <c r="B460" s="179" t="s">
        <v>518</v>
      </c>
      <c r="C460" s="186">
        <v>39222</v>
      </c>
      <c r="D460" s="188">
        <f t="shared" si="10"/>
        <v>2007</v>
      </c>
      <c r="E460" s="183" t="s">
        <v>531</v>
      </c>
      <c r="F460" s="178">
        <v>600</v>
      </c>
      <c r="G460" s="178">
        <v>13818</v>
      </c>
      <c r="H460" s="178">
        <v>6132</v>
      </c>
      <c r="I460" s="178">
        <v>7686</v>
      </c>
    </row>
    <row r="461" spans="1:9">
      <c r="A461" s="179" t="s">
        <v>429</v>
      </c>
      <c r="B461" s="179" t="s">
        <v>516</v>
      </c>
      <c r="C461" s="186">
        <v>39224</v>
      </c>
      <c r="D461" s="188">
        <f t="shared" si="10"/>
        <v>2007</v>
      </c>
      <c r="E461" s="183" t="s">
        <v>529</v>
      </c>
      <c r="F461" s="178">
        <v>600</v>
      </c>
      <c r="G461" s="178">
        <v>13206</v>
      </c>
      <c r="H461" s="178">
        <v>5904</v>
      </c>
      <c r="I461" s="178">
        <v>7302</v>
      </c>
    </row>
    <row r="462" spans="1:9">
      <c r="A462" s="179" t="s">
        <v>429</v>
      </c>
      <c r="B462" s="179" t="s">
        <v>516</v>
      </c>
      <c r="C462" s="186">
        <v>39224</v>
      </c>
      <c r="D462" s="188">
        <f t="shared" si="10"/>
        <v>2007</v>
      </c>
      <c r="E462" s="183" t="s">
        <v>532</v>
      </c>
      <c r="F462" s="178">
        <v>800</v>
      </c>
      <c r="G462" s="178">
        <v>17240</v>
      </c>
      <c r="H462" s="178">
        <v>7872</v>
      </c>
      <c r="I462" s="178">
        <v>9368</v>
      </c>
    </row>
    <row r="463" spans="1:9">
      <c r="A463" s="179" t="s">
        <v>429</v>
      </c>
      <c r="B463" s="179" t="s">
        <v>516</v>
      </c>
      <c r="C463" s="186">
        <v>39225</v>
      </c>
      <c r="D463" s="188">
        <f t="shared" si="10"/>
        <v>2007</v>
      </c>
      <c r="E463" s="183" t="s">
        <v>532</v>
      </c>
      <c r="F463" s="178">
        <v>400</v>
      </c>
      <c r="G463" s="178">
        <v>8708</v>
      </c>
      <c r="H463" s="178">
        <v>3936</v>
      </c>
      <c r="I463" s="178">
        <v>4772</v>
      </c>
    </row>
    <row r="464" spans="1:9">
      <c r="A464" s="179" t="s">
        <v>528</v>
      </c>
      <c r="B464" s="179" t="s">
        <v>517</v>
      </c>
      <c r="C464" s="186">
        <v>39227</v>
      </c>
      <c r="D464" s="188">
        <f t="shared" si="10"/>
        <v>2007</v>
      </c>
      <c r="E464" s="183" t="s">
        <v>523</v>
      </c>
      <c r="F464" s="178">
        <v>700</v>
      </c>
      <c r="G464" s="178">
        <v>12838</v>
      </c>
      <c r="H464" s="178">
        <v>5929</v>
      </c>
      <c r="I464" s="178">
        <v>6909</v>
      </c>
    </row>
    <row r="465" spans="1:9">
      <c r="A465" s="179" t="s">
        <v>423</v>
      </c>
      <c r="B465" s="179" t="s">
        <v>517</v>
      </c>
      <c r="C465" s="186">
        <v>39231</v>
      </c>
      <c r="D465" s="188">
        <f t="shared" si="10"/>
        <v>2007</v>
      </c>
      <c r="E465" s="183" t="s">
        <v>532</v>
      </c>
      <c r="F465" s="178">
        <v>1000</v>
      </c>
      <c r="G465" s="178">
        <v>20250</v>
      </c>
      <c r="H465" s="178">
        <v>8470</v>
      </c>
      <c r="I465" s="178">
        <v>11780</v>
      </c>
    </row>
    <row r="466" spans="1:9">
      <c r="A466" s="179" t="s">
        <v>423</v>
      </c>
      <c r="B466" s="179" t="s">
        <v>518</v>
      </c>
      <c r="C466" s="186">
        <v>39232</v>
      </c>
      <c r="D466" s="188">
        <f t="shared" si="10"/>
        <v>2007</v>
      </c>
      <c r="E466" s="183" t="s">
        <v>530</v>
      </c>
      <c r="F466" s="178">
        <v>600</v>
      </c>
      <c r="G466" s="178">
        <v>14634</v>
      </c>
      <c r="H466" s="178">
        <v>6132</v>
      </c>
      <c r="I466" s="178">
        <v>8502</v>
      </c>
    </row>
    <row r="467" spans="1:9">
      <c r="A467" s="179" t="s">
        <v>528</v>
      </c>
      <c r="B467" s="179" t="s">
        <v>517</v>
      </c>
      <c r="C467" s="186">
        <v>39233</v>
      </c>
      <c r="D467" s="188">
        <f t="shared" si="10"/>
        <v>2007</v>
      </c>
      <c r="E467" s="183" t="s">
        <v>537</v>
      </c>
      <c r="F467" s="178">
        <v>800</v>
      </c>
      <c r="G467" s="178">
        <v>15288</v>
      </c>
      <c r="H467" s="178">
        <v>6776</v>
      </c>
      <c r="I467" s="178">
        <v>8512</v>
      </c>
    </row>
    <row r="468" spans="1:9">
      <c r="A468" s="179" t="s">
        <v>429</v>
      </c>
      <c r="B468" s="179" t="s">
        <v>516</v>
      </c>
      <c r="C468" s="186">
        <v>39233</v>
      </c>
      <c r="D468" s="188">
        <f t="shared" si="10"/>
        <v>2007</v>
      </c>
      <c r="E468" s="183" t="s">
        <v>530</v>
      </c>
      <c r="F468" s="178">
        <v>400</v>
      </c>
      <c r="G468" s="178">
        <v>9484</v>
      </c>
      <c r="H468" s="178">
        <v>3936</v>
      </c>
      <c r="I468" s="178">
        <v>5548</v>
      </c>
    </row>
    <row r="469" spans="1:9">
      <c r="A469" s="179" t="s">
        <v>423</v>
      </c>
      <c r="B469" s="179" t="s">
        <v>516</v>
      </c>
      <c r="C469" s="186">
        <v>39233</v>
      </c>
      <c r="D469" s="188">
        <f t="shared" si="10"/>
        <v>2007</v>
      </c>
      <c r="E469" s="183" t="s">
        <v>530</v>
      </c>
      <c r="F469" s="178">
        <v>400</v>
      </c>
      <c r="G469" s="178">
        <v>8464</v>
      </c>
      <c r="H469" s="178">
        <v>3936</v>
      </c>
      <c r="I469" s="178">
        <v>4528</v>
      </c>
    </row>
    <row r="470" spans="1:9">
      <c r="A470" s="179" t="s">
        <v>429</v>
      </c>
      <c r="B470" s="179" t="s">
        <v>518</v>
      </c>
      <c r="C470" s="186">
        <v>39234</v>
      </c>
      <c r="D470" s="188">
        <f t="shared" si="10"/>
        <v>2007</v>
      </c>
      <c r="E470" s="183" t="s">
        <v>530</v>
      </c>
      <c r="F470" s="178">
        <v>100</v>
      </c>
      <c r="G470" s="178">
        <v>2517</v>
      </c>
      <c r="H470" s="178">
        <v>1022</v>
      </c>
      <c r="I470" s="178">
        <v>1495</v>
      </c>
    </row>
    <row r="471" spans="1:9">
      <c r="A471" s="179" t="s">
        <v>528</v>
      </c>
      <c r="B471" s="179" t="s">
        <v>518</v>
      </c>
      <c r="C471" s="186">
        <v>39235</v>
      </c>
      <c r="D471" s="188">
        <f t="shared" si="10"/>
        <v>2007</v>
      </c>
      <c r="E471" s="183" t="s">
        <v>529</v>
      </c>
      <c r="F471" s="178">
        <v>700</v>
      </c>
      <c r="G471" s="178">
        <v>15876</v>
      </c>
      <c r="H471" s="178">
        <v>7154</v>
      </c>
      <c r="I471" s="178">
        <v>8722</v>
      </c>
    </row>
    <row r="472" spans="1:9">
      <c r="A472" s="179" t="s">
        <v>429</v>
      </c>
      <c r="B472" s="179" t="s">
        <v>516</v>
      </c>
      <c r="C472" s="186">
        <v>39237</v>
      </c>
      <c r="D472" s="188">
        <f t="shared" si="10"/>
        <v>2007</v>
      </c>
      <c r="E472" s="183" t="s">
        <v>533</v>
      </c>
      <c r="F472" s="178">
        <v>800</v>
      </c>
      <c r="G472" s="178">
        <v>15816</v>
      </c>
      <c r="H472" s="178">
        <v>7872</v>
      </c>
      <c r="I472" s="178">
        <v>7944</v>
      </c>
    </row>
    <row r="473" spans="1:9">
      <c r="A473" s="179" t="s">
        <v>423</v>
      </c>
      <c r="B473" s="179" t="s">
        <v>517</v>
      </c>
      <c r="C473" s="186">
        <v>39239</v>
      </c>
      <c r="D473" s="188">
        <f t="shared" si="10"/>
        <v>2007</v>
      </c>
      <c r="E473" s="183" t="s">
        <v>532</v>
      </c>
      <c r="F473" s="178">
        <v>300</v>
      </c>
      <c r="G473" s="178">
        <v>5859</v>
      </c>
      <c r="H473" s="178">
        <v>2541</v>
      </c>
      <c r="I473" s="178">
        <v>3318</v>
      </c>
    </row>
    <row r="474" spans="1:9">
      <c r="A474" s="179" t="s">
        <v>423</v>
      </c>
      <c r="B474" s="179" t="s">
        <v>517</v>
      </c>
      <c r="C474" s="186">
        <v>39244</v>
      </c>
      <c r="D474" s="188">
        <f t="shared" si="10"/>
        <v>2007</v>
      </c>
      <c r="E474" s="183" t="s">
        <v>529</v>
      </c>
      <c r="F474" s="178">
        <v>500</v>
      </c>
      <c r="G474" s="178">
        <v>10295</v>
      </c>
      <c r="H474" s="178">
        <v>4235</v>
      </c>
      <c r="I474" s="178">
        <v>6060</v>
      </c>
    </row>
    <row r="475" spans="1:9">
      <c r="A475" s="179" t="s">
        <v>423</v>
      </c>
      <c r="B475" s="179" t="s">
        <v>516</v>
      </c>
      <c r="C475" s="186">
        <v>39247</v>
      </c>
      <c r="D475" s="188">
        <f t="shared" si="10"/>
        <v>2007</v>
      </c>
      <c r="E475" s="183" t="s">
        <v>534</v>
      </c>
      <c r="F475" s="178">
        <v>400</v>
      </c>
      <c r="G475" s="178">
        <v>9088</v>
      </c>
      <c r="H475" s="178">
        <v>3936</v>
      </c>
      <c r="I475" s="178">
        <v>5152</v>
      </c>
    </row>
    <row r="476" spans="1:9">
      <c r="A476" s="179" t="s">
        <v>528</v>
      </c>
      <c r="B476" s="179" t="s">
        <v>516</v>
      </c>
      <c r="C476" s="186">
        <v>39248</v>
      </c>
      <c r="D476" s="188">
        <f t="shared" si="10"/>
        <v>2007</v>
      </c>
      <c r="E476" s="183" t="s">
        <v>523</v>
      </c>
      <c r="F476" s="178">
        <v>200</v>
      </c>
      <c r="G476" s="178">
        <v>4472</v>
      </c>
      <c r="H476" s="178">
        <v>1968</v>
      </c>
      <c r="I476" s="178">
        <v>2504</v>
      </c>
    </row>
    <row r="477" spans="1:9">
      <c r="A477" s="179" t="s">
        <v>429</v>
      </c>
      <c r="B477" s="179" t="s">
        <v>517</v>
      </c>
      <c r="C477" s="186">
        <v>39250</v>
      </c>
      <c r="D477" s="188">
        <f t="shared" si="10"/>
        <v>2007</v>
      </c>
      <c r="E477" s="183" t="s">
        <v>523</v>
      </c>
      <c r="F477" s="178">
        <v>400</v>
      </c>
      <c r="G477" s="178">
        <v>8468</v>
      </c>
      <c r="H477" s="178">
        <v>3388</v>
      </c>
      <c r="I477" s="178">
        <v>5080</v>
      </c>
    </row>
    <row r="478" spans="1:9">
      <c r="A478" s="179" t="s">
        <v>429</v>
      </c>
      <c r="B478" s="179" t="s">
        <v>517</v>
      </c>
      <c r="C478" s="186">
        <v>39251</v>
      </c>
      <c r="D478" s="188">
        <f t="shared" si="10"/>
        <v>2007</v>
      </c>
      <c r="E478" s="183" t="s">
        <v>523</v>
      </c>
      <c r="F478" s="178">
        <v>400</v>
      </c>
      <c r="G478" s="178">
        <v>7132</v>
      </c>
      <c r="H478" s="178">
        <v>3388</v>
      </c>
      <c r="I478" s="178">
        <v>3744</v>
      </c>
    </row>
    <row r="479" spans="1:9">
      <c r="A479" s="179" t="s">
        <v>528</v>
      </c>
      <c r="B479" s="179" t="s">
        <v>517</v>
      </c>
      <c r="C479" s="186">
        <v>39256</v>
      </c>
      <c r="D479" s="188">
        <f t="shared" si="10"/>
        <v>2007</v>
      </c>
      <c r="E479" s="183" t="s">
        <v>533</v>
      </c>
      <c r="F479" s="178">
        <v>800</v>
      </c>
      <c r="G479" s="178">
        <v>16416</v>
      </c>
      <c r="H479" s="178">
        <v>6776</v>
      </c>
      <c r="I479" s="178">
        <v>9640</v>
      </c>
    </row>
    <row r="480" spans="1:9">
      <c r="A480" s="179" t="s">
        <v>429</v>
      </c>
      <c r="B480" s="179" t="s">
        <v>516</v>
      </c>
      <c r="C480" s="186">
        <v>39256</v>
      </c>
      <c r="D480" s="188">
        <f t="shared" si="10"/>
        <v>2007</v>
      </c>
      <c r="E480" s="183" t="s">
        <v>541</v>
      </c>
      <c r="F480" s="178">
        <v>1000</v>
      </c>
      <c r="G480" s="178">
        <v>21730</v>
      </c>
      <c r="H480" s="178">
        <v>9840</v>
      </c>
      <c r="I480" s="178">
        <v>11890</v>
      </c>
    </row>
    <row r="481" spans="1:9">
      <c r="A481" s="179" t="s">
        <v>423</v>
      </c>
      <c r="B481" s="179" t="s">
        <v>516</v>
      </c>
      <c r="C481" s="186">
        <v>39257</v>
      </c>
      <c r="D481" s="188">
        <f t="shared" si="10"/>
        <v>2007</v>
      </c>
      <c r="E481" s="183" t="s">
        <v>525</v>
      </c>
      <c r="F481" s="178">
        <v>800</v>
      </c>
      <c r="G481" s="178">
        <v>17056</v>
      </c>
      <c r="H481" s="178">
        <v>7872</v>
      </c>
      <c r="I481" s="178">
        <v>9184</v>
      </c>
    </row>
    <row r="482" spans="1:9">
      <c r="A482" s="179" t="s">
        <v>528</v>
      </c>
      <c r="B482" s="179" t="s">
        <v>518</v>
      </c>
      <c r="C482" s="186">
        <v>39259</v>
      </c>
      <c r="D482" s="188">
        <f t="shared" si="10"/>
        <v>2007</v>
      </c>
      <c r="E482" s="183" t="s">
        <v>524</v>
      </c>
      <c r="F482" s="178">
        <v>600</v>
      </c>
      <c r="G482" s="178">
        <v>12936</v>
      </c>
      <c r="H482" s="178">
        <v>6132</v>
      </c>
      <c r="I482" s="178">
        <v>6804</v>
      </c>
    </row>
    <row r="483" spans="1:9">
      <c r="A483" s="179" t="s">
        <v>528</v>
      </c>
      <c r="B483" s="179" t="s">
        <v>518</v>
      </c>
      <c r="C483" s="186">
        <v>39260</v>
      </c>
      <c r="D483" s="188">
        <f t="shared" si="10"/>
        <v>2007</v>
      </c>
      <c r="E483" s="183" t="s">
        <v>523</v>
      </c>
      <c r="F483" s="178">
        <v>500</v>
      </c>
      <c r="G483" s="178">
        <v>10385</v>
      </c>
      <c r="H483" s="178">
        <v>5110</v>
      </c>
      <c r="I483" s="178">
        <v>5275</v>
      </c>
    </row>
    <row r="484" spans="1:9">
      <c r="A484" s="179" t="s">
        <v>429</v>
      </c>
      <c r="B484" s="179" t="s">
        <v>517</v>
      </c>
      <c r="C484" s="186">
        <v>39266</v>
      </c>
      <c r="D484" s="188">
        <f t="shared" si="10"/>
        <v>2007</v>
      </c>
      <c r="E484" s="183" t="s">
        <v>530</v>
      </c>
      <c r="F484" s="178">
        <v>300</v>
      </c>
      <c r="G484" s="178">
        <v>5457</v>
      </c>
      <c r="H484" s="178">
        <v>2541</v>
      </c>
      <c r="I484" s="178">
        <v>2916</v>
      </c>
    </row>
    <row r="485" spans="1:9">
      <c r="A485" s="179" t="s">
        <v>528</v>
      </c>
      <c r="B485" s="179" t="s">
        <v>516</v>
      </c>
      <c r="C485" s="186">
        <v>39272</v>
      </c>
      <c r="D485" s="188">
        <f t="shared" si="10"/>
        <v>2007</v>
      </c>
      <c r="E485" s="183" t="s">
        <v>537</v>
      </c>
      <c r="F485" s="178">
        <v>800</v>
      </c>
      <c r="G485" s="178">
        <v>15856</v>
      </c>
      <c r="H485" s="178">
        <v>7872</v>
      </c>
      <c r="I485" s="178">
        <v>7984</v>
      </c>
    </row>
    <row r="486" spans="1:9">
      <c r="A486" s="179" t="s">
        <v>528</v>
      </c>
      <c r="B486" s="179" t="s">
        <v>517</v>
      </c>
      <c r="C486" s="186">
        <v>39274</v>
      </c>
      <c r="D486" s="188">
        <f t="shared" si="10"/>
        <v>2007</v>
      </c>
      <c r="E486" s="183" t="s">
        <v>523</v>
      </c>
      <c r="F486" s="178">
        <v>200</v>
      </c>
      <c r="G486" s="178">
        <v>3922</v>
      </c>
      <c r="H486" s="178">
        <v>1694</v>
      </c>
      <c r="I486" s="178">
        <v>2228</v>
      </c>
    </row>
    <row r="487" spans="1:9">
      <c r="A487" s="179" t="s">
        <v>429</v>
      </c>
      <c r="B487" s="179" t="s">
        <v>517</v>
      </c>
      <c r="C487" s="186">
        <v>39274</v>
      </c>
      <c r="D487" s="188">
        <f t="shared" si="10"/>
        <v>2007</v>
      </c>
      <c r="E487" s="183" t="s">
        <v>524</v>
      </c>
      <c r="F487" s="178">
        <v>100</v>
      </c>
      <c r="G487" s="178">
        <v>2055</v>
      </c>
      <c r="H487" s="178">
        <v>847</v>
      </c>
      <c r="I487" s="178">
        <v>1208</v>
      </c>
    </row>
    <row r="488" spans="1:9">
      <c r="A488" s="179" t="s">
        <v>423</v>
      </c>
      <c r="B488" s="179" t="s">
        <v>517</v>
      </c>
      <c r="C488" s="186">
        <v>39278</v>
      </c>
      <c r="D488" s="188">
        <f t="shared" si="10"/>
        <v>2007</v>
      </c>
      <c r="E488" s="183" t="s">
        <v>538</v>
      </c>
      <c r="F488" s="178">
        <v>700</v>
      </c>
      <c r="G488" s="178">
        <v>12474</v>
      </c>
      <c r="H488" s="178">
        <v>5929</v>
      </c>
      <c r="I488" s="178">
        <v>6545</v>
      </c>
    </row>
    <row r="489" spans="1:9">
      <c r="A489" s="179" t="s">
        <v>528</v>
      </c>
      <c r="B489" s="179" t="s">
        <v>517</v>
      </c>
      <c r="C489" s="186">
        <v>39280</v>
      </c>
      <c r="D489" s="188">
        <f t="shared" si="10"/>
        <v>2007</v>
      </c>
      <c r="E489" s="183" t="s">
        <v>534</v>
      </c>
      <c r="F489" s="178">
        <v>100</v>
      </c>
      <c r="G489" s="178">
        <v>1968</v>
      </c>
      <c r="H489" s="178">
        <v>847</v>
      </c>
      <c r="I489" s="178">
        <v>1121</v>
      </c>
    </row>
    <row r="490" spans="1:9">
      <c r="A490" s="179" t="s">
        <v>429</v>
      </c>
      <c r="B490" s="179" t="s">
        <v>518</v>
      </c>
      <c r="C490" s="186">
        <v>39280</v>
      </c>
      <c r="D490" s="188">
        <f t="shared" si="10"/>
        <v>2007</v>
      </c>
      <c r="E490" s="183" t="s">
        <v>524</v>
      </c>
      <c r="F490" s="178">
        <v>700</v>
      </c>
      <c r="G490" s="178">
        <v>15988</v>
      </c>
      <c r="H490" s="178">
        <v>7154</v>
      </c>
      <c r="I490" s="178">
        <v>8834</v>
      </c>
    </row>
    <row r="491" spans="1:9">
      <c r="A491" s="179" t="s">
        <v>423</v>
      </c>
      <c r="B491" s="179" t="s">
        <v>517</v>
      </c>
      <c r="C491" s="186">
        <v>39281</v>
      </c>
      <c r="D491" s="188">
        <f t="shared" si="10"/>
        <v>2007</v>
      </c>
      <c r="E491" s="183" t="s">
        <v>523</v>
      </c>
      <c r="F491" s="178">
        <v>200</v>
      </c>
      <c r="G491" s="178">
        <v>3672</v>
      </c>
      <c r="H491" s="178">
        <v>1694</v>
      </c>
      <c r="I491" s="178">
        <v>1978</v>
      </c>
    </row>
    <row r="492" spans="1:9">
      <c r="A492" s="179" t="s">
        <v>429</v>
      </c>
      <c r="B492" s="179" t="s">
        <v>517</v>
      </c>
      <c r="C492" s="186">
        <v>39288</v>
      </c>
      <c r="D492" s="188">
        <f t="shared" si="10"/>
        <v>2007</v>
      </c>
      <c r="E492" s="183" t="s">
        <v>530</v>
      </c>
      <c r="F492" s="178">
        <v>400</v>
      </c>
      <c r="G492" s="178">
        <v>6944</v>
      </c>
      <c r="H492" s="178">
        <v>3388</v>
      </c>
      <c r="I492" s="178">
        <v>3556</v>
      </c>
    </row>
    <row r="493" spans="1:9">
      <c r="A493" s="179" t="s">
        <v>528</v>
      </c>
      <c r="B493" s="179" t="s">
        <v>516</v>
      </c>
      <c r="C493" s="186">
        <v>39288</v>
      </c>
      <c r="D493" s="188">
        <f t="shared" si="10"/>
        <v>2007</v>
      </c>
      <c r="E493" s="183" t="s">
        <v>532</v>
      </c>
      <c r="F493" s="178">
        <v>600</v>
      </c>
      <c r="G493" s="178">
        <v>13368</v>
      </c>
      <c r="H493" s="178">
        <v>5904</v>
      </c>
      <c r="I493" s="178">
        <v>7464</v>
      </c>
    </row>
    <row r="494" spans="1:9">
      <c r="A494" s="179" t="s">
        <v>423</v>
      </c>
      <c r="B494" s="179" t="s">
        <v>516</v>
      </c>
      <c r="C494" s="186">
        <v>39290</v>
      </c>
      <c r="D494" s="188">
        <f t="shared" si="10"/>
        <v>2007</v>
      </c>
      <c r="E494" s="183" t="s">
        <v>525</v>
      </c>
      <c r="F494" s="178">
        <v>300</v>
      </c>
      <c r="G494" s="178">
        <v>6018</v>
      </c>
      <c r="H494" s="178">
        <v>2952</v>
      </c>
      <c r="I494" s="178">
        <v>3066</v>
      </c>
    </row>
    <row r="495" spans="1:9">
      <c r="A495" s="179" t="s">
        <v>528</v>
      </c>
      <c r="B495" s="179" t="s">
        <v>518</v>
      </c>
      <c r="C495" s="186">
        <v>39291</v>
      </c>
      <c r="D495" s="188">
        <f t="shared" si="10"/>
        <v>2007</v>
      </c>
      <c r="E495" s="183" t="s">
        <v>533</v>
      </c>
      <c r="F495" s="178">
        <v>100</v>
      </c>
      <c r="G495" s="178">
        <v>2343</v>
      </c>
      <c r="H495" s="178">
        <v>1022</v>
      </c>
      <c r="I495" s="178">
        <v>1321</v>
      </c>
    </row>
    <row r="496" spans="1:9">
      <c r="A496" s="179" t="s">
        <v>423</v>
      </c>
      <c r="B496" s="179" t="s">
        <v>517</v>
      </c>
      <c r="C496" s="186">
        <v>39295</v>
      </c>
      <c r="D496" s="188">
        <f t="shared" si="10"/>
        <v>2007</v>
      </c>
      <c r="E496" s="183" t="s">
        <v>529</v>
      </c>
      <c r="F496" s="178">
        <v>400</v>
      </c>
      <c r="G496" s="178">
        <v>7752</v>
      </c>
      <c r="H496" s="178">
        <v>3388</v>
      </c>
      <c r="I496" s="178">
        <v>4364</v>
      </c>
    </row>
    <row r="497" spans="1:9">
      <c r="A497" s="179" t="s">
        <v>423</v>
      </c>
      <c r="B497" s="179" t="s">
        <v>516</v>
      </c>
      <c r="C497" s="186">
        <v>39296</v>
      </c>
      <c r="D497" s="188">
        <f t="shared" si="10"/>
        <v>2007</v>
      </c>
      <c r="E497" s="183" t="s">
        <v>530</v>
      </c>
      <c r="F497" s="178">
        <v>500</v>
      </c>
      <c r="G497" s="178">
        <v>11295</v>
      </c>
      <c r="H497" s="178">
        <v>4920</v>
      </c>
      <c r="I497" s="178">
        <v>6375</v>
      </c>
    </row>
    <row r="498" spans="1:9">
      <c r="A498" s="179" t="s">
        <v>528</v>
      </c>
      <c r="B498" s="179" t="s">
        <v>516</v>
      </c>
      <c r="C498" s="186">
        <v>39296</v>
      </c>
      <c r="D498" s="188">
        <f t="shared" si="10"/>
        <v>2007</v>
      </c>
      <c r="E498" s="183" t="s">
        <v>533</v>
      </c>
      <c r="F498" s="178">
        <v>600</v>
      </c>
      <c r="G498" s="178">
        <v>13200</v>
      </c>
      <c r="H498" s="178">
        <v>5904</v>
      </c>
      <c r="I498" s="178">
        <v>7296</v>
      </c>
    </row>
    <row r="499" spans="1:9">
      <c r="A499" s="179" t="s">
        <v>528</v>
      </c>
      <c r="B499" s="179" t="s">
        <v>518</v>
      </c>
      <c r="C499" s="186">
        <v>39298</v>
      </c>
      <c r="D499" s="188">
        <f t="shared" si="10"/>
        <v>2007</v>
      </c>
      <c r="E499" s="183" t="s">
        <v>531</v>
      </c>
      <c r="F499" s="178">
        <v>800</v>
      </c>
      <c r="G499" s="178">
        <v>17160</v>
      </c>
      <c r="H499" s="178">
        <v>8176</v>
      </c>
      <c r="I499" s="178">
        <v>8984</v>
      </c>
    </row>
    <row r="500" spans="1:9">
      <c r="A500" s="179" t="s">
        <v>429</v>
      </c>
      <c r="B500" s="179" t="s">
        <v>518</v>
      </c>
      <c r="C500" s="186">
        <v>39299</v>
      </c>
      <c r="D500" s="188">
        <f t="shared" si="10"/>
        <v>2007</v>
      </c>
      <c r="E500" s="183" t="s">
        <v>531</v>
      </c>
      <c r="F500" s="178">
        <v>900</v>
      </c>
      <c r="G500" s="178">
        <v>20664</v>
      </c>
      <c r="H500" s="178">
        <v>9198</v>
      </c>
      <c r="I500" s="178">
        <v>11466</v>
      </c>
    </row>
    <row r="501" spans="1:9">
      <c r="A501" s="179" t="s">
        <v>429</v>
      </c>
      <c r="B501" s="179" t="s">
        <v>518</v>
      </c>
      <c r="C501" s="186">
        <v>39300</v>
      </c>
      <c r="D501" s="188">
        <f t="shared" si="10"/>
        <v>2007</v>
      </c>
      <c r="E501" s="183" t="s">
        <v>543</v>
      </c>
      <c r="F501" s="178">
        <v>100</v>
      </c>
      <c r="G501" s="178">
        <v>2538</v>
      </c>
      <c r="H501" s="178">
        <v>1022</v>
      </c>
      <c r="I501" s="178">
        <v>1516</v>
      </c>
    </row>
    <row r="502" spans="1:9">
      <c r="A502" s="179" t="s">
        <v>423</v>
      </c>
      <c r="B502" s="179" t="s">
        <v>518</v>
      </c>
      <c r="C502" s="186">
        <v>39301</v>
      </c>
      <c r="D502" s="188">
        <f t="shared" si="10"/>
        <v>2007</v>
      </c>
      <c r="E502" s="183" t="s">
        <v>525</v>
      </c>
      <c r="F502" s="178">
        <v>900</v>
      </c>
      <c r="G502" s="178">
        <v>21834</v>
      </c>
      <c r="H502" s="178">
        <v>9198</v>
      </c>
      <c r="I502" s="178">
        <v>12636</v>
      </c>
    </row>
    <row r="503" spans="1:9">
      <c r="A503" s="179" t="s">
        <v>528</v>
      </c>
      <c r="B503" s="179" t="s">
        <v>516</v>
      </c>
      <c r="C503" s="186">
        <v>39306</v>
      </c>
      <c r="D503" s="188">
        <f t="shared" si="10"/>
        <v>2007</v>
      </c>
      <c r="E503" s="183" t="s">
        <v>524</v>
      </c>
      <c r="F503" s="178">
        <v>300</v>
      </c>
      <c r="G503" s="178">
        <v>6462</v>
      </c>
      <c r="H503" s="178">
        <v>2952</v>
      </c>
      <c r="I503" s="178">
        <v>3510</v>
      </c>
    </row>
    <row r="504" spans="1:9">
      <c r="A504" s="179" t="s">
        <v>423</v>
      </c>
      <c r="B504" s="179" t="s">
        <v>518</v>
      </c>
      <c r="C504" s="186">
        <v>39307</v>
      </c>
      <c r="D504" s="188">
        <f t="shared" si="10"/>
        <v>2007</v>
      </c>
      <c r="E504" s="183" t="s">
        <v>531</v>
      </c>
      <c r="F504" s="178">
        <v>700</v>
      </c>
      <c r="G504" s="178">
        <v>16576</v>
      </c>
      <c r="H504" s="178">
        <v>7154</v>
      </c>
      <c r="I504" s="178">
        <v>9422</v>
      </c>
    </row>
    <row r="505" spans="1:9">
      <c r="A505" s="179" t="s">
        <v>429</v>
      </c>
      <c r="B505" s="179" t="s">
        <v>516</v>
      </c>
      <c r="C505" s="186">
        <v>39309</v>
      </c>
      <c r="D505" s="188">
        <f t="shared" si="10"/>
        <v>2007</v>
      </c>
      <c r="E505" s="183" t="s">
        <v>531</v>
      </c>
      <c r="F505" s="178">
        <v>600</v>
      </c>
      <c r="G505" s="178">
        <v>12048</v>
      </c>
      <c r="H505" s="178">
        <v>5904</v>
      </c>
      <c r="I505" s="178">
        <v>6144</v>
      </c>
    </row>
    <row r="506" spans="1:9">
      <c r="A506" s="179" t="s">
        <v>423</v>
      </c>
      <c r="B506" s="179" t="s">
        <v>516</v>
      </c>
      <c r="C506" s="186">
        <v>39311</v>
      </c>
      <c r="D506" s="188">
        <f t="shared" si="10"/>
        <v>2007</v>
      </c>
      <c r="E506" s="183" t="s">
        <v>529</v>
      </c>
      <c r="F506" s="178">
        <v>700</v>
      </c>
      <c r="G506" s="178">
        <v>16219</v>
      </c>
      <c r="H506" s="178">
        <v>6888</v>
      </c>
      <c r="I506" s="178">
        <v>9331</v>
      </c>
    </row>
    <row r="507" spans="1:9">
      <c r="A507" s="179" t="s">
        <v>528</v>
      </c>
      <c r="B507" s="179" t="s">
        <v>517</v>
      </c>
      <c r="C507" s="186">
        <v>39313</v>
      </c>
      <c r="D507" s="188">
        <f t="shared" si="10"/>
        <v>2007</v>
      </c>
      <c r="E507" s="183" t="s">
        <v>529</v>
      </c>
      <c r="F507" s="178">
        <v>400</v>
      </c>
      <c r="G507" s="178">
        <v>7944</v>
      </c>
      <c r="H507" s="178">
        <v>3388</v>
      </c>
      <c r="I507" s="178">
        <v>4556</v>
      </c>
    </row>
    <row r="508" spans="1:9">
      <c r="A508" s="179" t="s">
        <v>429</v>
      </c>
      <c r="B508" s="179" t="s">
        <v>518</v>
      </c>
      <c r="C508" s="186">
        <v>39313</v>
      </c>
      <c r="D508" s="188">
        <f t="shared" si="10"/>
        <v>2007</v>
      </c>
      <c r="E508" s="183" t="s">
        <v>529</v>
      </c>
      <c r="F508" s="178">
        <v>100</v>
      </c>
      <c r="G508" s="178">
        <v>2547</v>
      </c>
      <c r="H508" s="178">
        <v>1022</v>
      </c>
      <c r="I508" s="178">
        <v>1525</v>
      </c>
    </row>
    <row r="509" spans="1:9">
      <c r="A509" s="179" t="s">
        <v>429</v>
      </c>
      <c r="B509" s="179" t="s">
        <v>517</v>
      </c>
      <c r="C509" s="186">
        <v>39316</v>
      </c>
      <c r="D509" s="188">
        <f t="shared" si="10"/>
        <v>2007</v>
      </c>
      <c r="E509" s="183" t="s">
        <v>545</v>
      </c>
      <c r="F509" s="178">
        <v>300</v>
      </c>
      <c r="G509" s="178">
        <v>5532</v>
      </c>
      <c r="H509" s="178">
        <v>2541</v>
      </c>
      <c r="I509" s="178">
        <v>2991</v>
      </c>
    </row>
    <row r="510" spans="1:9">
      <c r="A510" s="179" t="s">
        <v>423</v>
      </c>
      <c r="B510" s="179" t="s">
        <v>517</v>
      </c>
      <c r="C510" s="186">
        <v>39320</v>
      </c>
      <c r="D510" s="188">
        <f t="shared" si="10"/>
        <v>2007</v>
      </c>
      <c r="E510" s="183" t="s">
        <v>531</v>
      </c>
      <c r="F510" s="178">
        <v>600</v>
      </c>
      <c r="G510" s="178">
        <v>10404</v>
      </c>
      <c r="H510" s="178">
        <v>5082</v>
      </c>
      <c r="I510" s="178">
        <v>5322</v>
      </c>
    </row>
    <row r="511" spans="1:9">
      <c r="A511" s="179" t="s">
        <v>528</v>
      </c>
      <c r="B511" s="179" t="s">
        <v>517</v>
      </c>
      <c r="C511" s="186">
        <v>39320</v>
      </c>
      <c r="D511" s="188">
        <f t="shared" si="10"/>
        <v>2007</v>
      </c>
      <c r="E511" s="183" t="s">
        <v>524</v>
      </c>
      <c r="F511" s="178">
        <v>300</v>
      </c>
      <c r="G511" s="178">
        <v>5592</v>
      </c>
      <c r="H511" s="178">
        <v>2541</v>
      </c>
      <c r="I511" s="178">
        <v>3051</v>
      </c>
    </row>
    <row r="512" spans="1:9">
      <c r="A512" s="179" t="s">
        <v>429</v>
      </c>
      <c r="B512" s="179" t="s">
        <v>517</v>
      </c>
      <c r="C512" s="186">
        <v>39322</v>
      </c>
      <c r="D512" s="188">
        <f t="shared" si="10"/>
        <v>2007</v>
      </c>
      <c r="E512" s="183" t="s">
        <v>534</v>
      </c>
      <c r="F512" s="178">
        <v>100</v>
      </c>
      <c r="G512" s="178">
        <v>1819</v>
      </c>
      <c r="H512" s="178">
        <v>847</v>
      </c>
      <c r="I512" s="178">
        <v>972</v>
      </c>
    </row>
    <row r="513" spans="1:9">
      <c r="A513" s="179" t="s">
        <v>429</v>
      </c>
      <c r="B513" s="179" t="s">
        <v>516</v>
      </c>
      <c r="C513" s="186">
        <v>39324</v>
      </c>
      <c r="D513" s="188">
        <f t="shared" si="10"/>
        <v>2007</v>
      </c>
      <c r="E513" s="183" t="s">
        <v>523</v>
      </c>
      <c r="F513" s="178">
        <v>200</v>
      </c>
      <c r="G513" s="178">
        <v>4696</v>
      </c>
      <c r="H513" s="178">
        <v>1968</v>
      </c>
      <c r="I513" s="178">
        <v>2728</v>
      </c>
    </row>
    <row r="514" spans="1:9">
      <c r="A514" s="179" t="s">
        <v>528</v>
      </c>
      <c r="B514" s="179" t="s">
        <v>517</v>
      </c>
      <c r="C514" s="186">
        <v>39336</v>
      </c>
      <c r="D514" s="188">
        <f t="shared" ref="D514:D564" si="11">YEAR(C514)</f>
        <v>2007</v>
      </c>
      <c r="E514" s="183" t="s">
        <v>523</v>
      </c>
      <c r="F514" s="178">
        <v>900</v>
      </c>
      <c r="G514" s="178">
        <v>17712</v>
      </c>
      <c r="H514" s="178">
        <v>7623</v>
      </c>
      <c r="I514" s="178">
        <v>10089</v>
      </c>
    </row>
    <row r="515" spans="1:9">
      <c r="A515" s="179" t="s">
        <v>423</v>
      </c>
      <c r="B515" s="179" t="s">
        <v>516</v>
      </c>
      <c r="C515" s="186">
        <v>39338</v>
      </c>
      <c r="D515" s="188">
        <f t="shared" si="11"/>
        <v>2007</v>
      </c>
      <c r="E515" s="183" t="s">
        <v>533</v>
      </c>
      <c r="F515" s="178">
        <v>500</v>
      </c>
      <c r="G515" s="178">
        <v>11330</v>
      </c>
      <c r="H515" s="178">
        <v>4920</v>
      </c>
      <c r="I515" s="178">
        <v>6410</v>
      </c>
    </row>
    <row r="516" spans="1:9">
      <c r="A516" s="179" t="s">
        <v>528</v>
      </c>
      <c r="B516" s="179" t="s">
        <v>518</v>
      </c>
      <c r="C516" s="186">
        <v>39339</v>
      </c>
      <c r="D516" s="188">
        <f t="shared" si="11"/>
        <v>2007</v>
      </c>
      <c r="E516" s="183" t="s">
        <v>532</v>
      </c>
      <c r="F516" s="178">
        <v>200</v>
      </c>
      <c r="G516" s="178">
        <v>4264</v>
      </c>
      <c r="H516" s="178">
        <v>2044</v>
      </c>
      <c r="I516" s="178">
        <v>2220</v>
      </c>
    </row>
    <row r="517" spans="1:9">
      <c r="A517" s="179" t="s">
        <v>528</v>
      </c>
      <c r="B517" s="179" t="s">
        <v>518</v>
      </c>
      <c r="C517" s="186">
        <v>39344</v>
      </c>
      <c r="D517" s="188">
        <f t="shared" si="11"/>
        <v>2007</v>
      </c>
      <c r="E517" s="183" t="s">
        <v>523</v>
      </c>
      <c r="F517" s="178">
        <v>900</v>
      </c>
      <c r="G517" s="178">
        <v>22014</v>
      </c>
      <c r="H517" s="178">
        <v>9198</v>
      </c>
      <c r="I517" s="178">
        <v>12816</v>
      </c>
    </row>
    <row r="518" spans="1:9">
      <c r="A518" s="179" t="s">
        <v>429</v>
      </c>
      <c r="B518" s="179" t="s">
        <v>517</v>
      </c>
      <c r="C518" s="186">
        <v>39347</v>
      </c>
      <c r="D518" s="188">
        <f t="shared" si="11"/>
        <v>2007</v>
      </c>
      <c r="E518" s="183" t="s">
        <v>532</v>
      </c>
      <c r="F518" s="178">
        <v>800</v>
      </c>
      <c r="G518" s="178">
        <v>13936</v>
      </c>
      <c r="H518" s="178">
        <v>6776</v>
      </c>
      <c r="I518" s="178">
        <v>7160</v>
      </c>
    </row>
    <row r="519" spans="1:9">
      <c r="A519" s="179" t="s">
        <v>423</v>
      </c>
      <c r="B519" s="179" t="s">
        <v>516</v>
      </c>
      <c r="C519" s="186">
        <v>39350</v>
      </c>
      <c r="D519" s="188">
        <f t="shared" si="11"/>
        <v>2007</v>
      </c>
      <c r="E519" s="183" t="s">
        <v>530</v>
      </c>
      <c r="F519" s="178">
        <v>900</v>
      </c>
      <c r="G519" s="178">
        <v>19989</v>
      </c>
      <c r="H519" s="178">
        <v>8856</v>
      </c>
      <c r="I519" s="178">
        <v>11133</v>
      </c>
    </row>
    <row r="520" spans="1:9">
      <c r="A520" s="179" t="s">
        <v>423</v>
      </c>
      <c r="B520" s="179" t="s">
        <v>518</v>
      </c>
      <c r="C520" s="186">
        <v>39351</v>
      </c>
      <c r="D520" s="188">
        <f t="shared" si="11"/>
        <v>2007</v>
      </c>
      <c r="E520" s="183" t="s">
        <v>524</v>
      </c>
      <c r="F520" s="178">
        <v>100</v>
      </c>
      <c r="G520" s="178">
        <v>2466</v>
      </c>
      <c r="H520" s="178">
        <v>1022</v>
      </c>
      <c r="I520" s="178">
        <v>1444</v>
      </c>
    </row>
    <row r="521" spans="1:9">
      <c r="A521" s="179" t="s">
        <v>423</v>
      </c>
      <c r="B521" s="179" t="s">
        <v>517</v>
      </c>
      <c r="C521" s="186">
        <v>39353</v>
      </c>
      <c r="D521" s="188">
        <f t="shared" si="11"/>
        <v>2007</v>
      </c>
      <c r="E521" s="183" t="s">
        <v>534</v>
      </c>
      <c r="F521" s="178">
        <v>100</v>
      </c>
      <c r="G521" s="178">
        <v>1957</v>
      </c>
      <c r="H521" s="178">
        <v>847</v>
      </c>
      <c r="I521" s="178">
        <v>1110</v>
      </c>
    </row>
    <row r="522" spans="1:9">
      <c r="A522" s="179" t="s">
        <v>429</v>
      </c>
      <c r="B522" s="179" t="s">
        <v>517</v>
      </c>
      <c r="C522" s="186">
        <v>39354</v>
      </c>
      <c r="D522" s="188">
        <f t="shared" si="11"/>
        <v>2007</v>
      </c>
      <c r="E522" s="183" t="s">
        <v>525</v>
      </c>
      <c r="F522" s="178">
        <v>800</v>
      </c>
      <c r="G522" s="178">
        <v>16288</v>
      </c>
      <c r="H522" s="178">
        <v>6776</v>
      </c>
      <c r="I522" s="178">
        <v>9512</v>
      </c>
    </row>
    <row r="523" spans="1:9">
      <c r="A523" s="179" t="s">
        <v>423</v>
      </c>
      <c r="B523" s="179" t="s">
        <v>516</v>
      </c>
      <c r="C523" s="186">
        <v>39355</v>
      </c>
      <c r="D523" s="188">
        <f t="shared" si="11"/>
        <v>2007</v>
      </c>
      <c r="E523" s="183" t="s">
        <v>523</v>
      </c>
      <c r="F523" s="178">
        <v>800</v>
      </c>
      <c r="G523" s="178">
        <v>16016</v>
      </c>
      <c r="H523" s="178">
        <v>7872</v>
      </c>
      <c r="I523" s="178">
        <v>8144</v>
      </c>
    </row>
    <row r="524" spans="1:9">
      <c r="A524" s="179" t="s">
        <v>528</v>
      </c>
      <c r="B524" s="179" t="s">
        <v>516</v>
      </c>
      <c r="C524" s="186">
        <v>39369</v>
      </c>
      <c r="D524" s="188">
        <f t="shared" si="11"/>
        <v>2007</v>
      </c>
      <c r="E524" s="183" t="s">
        <v>534</v>
      </c>
      <c r="F524" s="178">
        <v>500</v>
      </c>
      <c r="G524" s="178">
        <v>11530</v>
      </c>
      <c r="H524" s="178">
        <v>4920</v>
      </c>
      <c r="I524" s="178">
        <v>6610</v>
      </c>
    </row>
    <row r="525" spans="1:9">
      <c r="A525" s="179" t="s">
        <v>528</v>
      </c>
      <c r="B525" s="179" t="s">
        <v>518</v>
      </c>
      <c r="C525" s="186">
        <v>39369</v>
      </c>
      <c r="D525" s="188">
        <f t="shared" si="11"/>
        <v>2007</v>
      </c>
      <c r="E525" s="183" t="s">
        <v>534</v>
      </c>
      <c r="F525" s="178">
        <v>300</v>
      </c>
      <c r="G525" s="178">
        <v>6438</v>
      </c>
      <c r="H525" s="178">
        <v>3066</v>
      </c>
      <c r="I525" s="178">
        <v>3372</v>
      </c>
    </row>
    <row r="526" spans="1:9">
      <c r="A526" s="179" t="s">
        <v>429</v>
      </c>
      <c r="B526" s="179" t="s">
        <v>517</v>
      </c>
      <c r="C526" s="186">
        <v>39371</v>
      </c>
      <c r="D526" s="188">
        <f t="shared" si="11"/>
        <v>2007</v>
      </c>
      <c r="E526" s="183" t="s">
        <v>533</v>
      </c>
      <c r="F526" s="178">
        <v>400</v>
      </c>
      <c r="G526" s="178">
        <v>8456</v>
      </c>
      <c r="H526" s="178">
        <v>3388</v>
      </c>
      <c r="I526" s="178">
        <v>5068</v>
      </c>
    </row>
    <row r="527" spans="1:9">
      <c r="A527" s="179" t="s">
        <v>528</v>
      </c>
      <c r="B527" s="179" t="s">
        <v>517</v>
      </c>
      <c r="C527" s="186">
        <v>39373</v>
      </c>
      <c r="D527" s="188">
        <f t="shared" si="11"/>
        <v>2007</v>
      </c>
      <c r="E527" s="183" t="s">
        <v>531</v>
      </c>
      <c r="F527" s="178">
        <v>600</v>
      </c>
      <c r="G527" s="178">
        <v>11124</v>
      </c>
      <c r="H527" s="178">
        <v>5082</v>
      </c>
      <c r="I527" s="178">
        <v>6042</v>
      </c>
    </row>
    <row r="528" spans="1:9">
      <c r="A528" s="179" t="s">
        <v>429</v>
      </c>
      <c r="B528" s="179" t="s">
        <v>516</v>
      </c>
      <c r="C528" s="186">
        <v>39373</v>
      </c>
      <c r="D528" s="188">
        <f t="shared" si="11"/>
        <v>2007</v>
      </c>
      <c r="E528" s="183" t="s">
        <v>529</v>
      </c>
      <c r="F528" s="178">
        <v>600</v>
      </c>
      <c r="G528" s="178">
        <v>13332</v>
      </c>
      <c r="H528" s="178">
        <v>5904</v>
      </c>
      <c r="I528" s="178">
        <v>7428</v>
      </c>
    </row>
    <row r="529" spans="1:9">
      <c r="A529" s="179" t="s">
        <v>423</v>
      </c>
      <c r="B529" s="179" t="s">
        <v>517</v>
      </c>
      <c r="C529" s="186">
        <v>39378</v>
      </c>
      <c r="D529" s="188">
        <f t="shared" si="11"/>
        <v>2007</v>
      </c>
      <c r="E529" s="183" t="s">
        <v>530</v>
      </c>
      <c r="F529" s="178">
        <v>500</v>
      </c>
      <c r="G529" s="178">
        <v>9575</v>
      </c>
      <c r="H529" s="178">
        <v>4235</v>
      </c>
      <c r="I529" s="178">
        <v>5340</v>
      </c>
    </row>
    <row r="530" spans="1:9">
      <c r="A530" s="179" t="s">
        <v>423</v>
      </c>
      <c r="B530" s="179" t="s">
        <v>518</v>
      </c>
      <c r="C530" s="186">
        <v>39378</v>
      </c>
      <c r="D530" s="188">
        <f t="shared" si="11"/>
        <v>2007</v>
      </c>
      <c r="E530" s="183" t="s">
        <v>529</v>
      </c>
      <c r="F530" s="178">
        <v>800</v>
      </c>
      <c r="G530" s="178">
        <v>17496</v>
      </c>
      <c r="H530" s="178">
        <v>8176</v>
      </c>
      <c r="I530" s="178">
        <v>9320</v>
      </c>
    </row>
    <row r="531" spans="1:9">
      <c r="A531" s="179" t="s">
        <v>528</v>
      </c>
      <c r="B531" s="179" t="s">
        <v>518</v>
      </c>
      <c r="C531" s="186">
        <v>39378</v>
      </c>
      <c r="D531" s="188">
        <f t="shared" si="11"/>
        <v>2007</v>
      </c>
      <c r="E531" s="183" t="s">
        <v>523</v>
      </c>
      <c r="F531" s="178">
        <v>500</v>
      </c>
      <c r="G531" s="178">
        <v>11240</v>
      </c>
      <c r="H531" s="178">
        <v>5110</v>
      </c>
      <c r="I531" s="178">
        <v>6130</v>
      </c>
    </row>
    <row r="532" spans="1:9">
      <c r="A532" s="179" t="s">
        <v>528</v>
      </c>
      <c r="B532" s="179" t="s">
        <v>518</v>
      </c>
      <c r="C532" s="186">
        <v>39379</v>
      </c>
      <c r="D532" s="188">
        <f t="shared" si="11"/>
        <v>2007</v>
      </c>
      <c r="E532" s="183" t="s">
        <v>533</v>
      </c>
      <c r="F532" s="178">
        <v>500</v>
      </c>
      <c r="G532" s="178">
        <v>12505</v>
      </c>
      <c r="H532" s="178">
        <v>5110</v>
      </c>
      <c r="I532" s="178">
        <v>7395</v>
      </c>
    </row>
    <row r="533" spans="1:9">
      <c r="A533" s="179" t="s">
        <v>528</v>
      </c>
      <c r="B533" s="179" t="s">
        <v>518</v>
      </c>
      <c r="C533" s="186">
        <v>39379</v>
      </c>
      <c r="D533" s="188">
        <f t="shared" si="11"/>
        <v>2007</v>
      </c>
      <c r="E533" s="183" t="s">
        <v>538</v>
      </c>
      <c r="F533" s="178">
        <v>400</v>
      </c>
      <c r="G533" s="178">
        <v>9660</v>
      </c>
      <c r="H533" s="178">
        <v>4088</v>
      </c>
      <c r="I533" s="178">
        <v>5572</v>
      </c>
    </row>
    <row r="534" spans="1:9">
      <c r="A534" s="179" t="s">
        <v>429</v>
      </c>
      <c r="B534" s="179" t="s">
        <v>516</v>
      </c>
      <c r="C534" s="186">
        <v>39384</v>
      </c>
      <c r="D534" s="188">
        <f t="shared" si="11"/>
        <v>2007</v>
      </c>
      <c r="E534" s="183" t="s">
        <v>531</v>
      </c>
      <c r="F534" s="178">
        <v>300</v>
      </c>
      <c r="G534" s="178">
        <v>6240</v>
      </c>
      <c r="H534" s="178">
        <v>2952</v>
      </c>
      <c r="I534" s="178">
        <v>3288</v>
      </c>
    </row>
    <row r="535" spans="1:9">
      <c r="A535" s="179" t="s">
        <v>528</v>
      </c>
      <c r="B535" s="179" t="s">
        <v>516</v>
      </c>
      <c r="C535" s="186">
        <v>39385</v>
      </c>
      <c r="D535" s="188">
        <f t="shared" si="11"/>
        <v>2007</v>
      </c>
      <c r="E535" s="183" t="s">
        <v>549</v>
      </c>
      <c r="F535" s="178">
        <v>900</v>
      </c>
      <c r="G535" s="178">
        <v>20610</v>
      </c>
      <c r="H535" s="178">
        <v>8856</v>
      </c>
      <c r="I535" s="178">
        <v>11754</v>
      </c>
    </row>
    <row r="536" spans="1:9">
      <c r="A536" s="179" t="s">
        <v>528</v>
      </c>
      <c r="B536" s="179" t="s">
        <v>517</v>
      </c>
      <c r="C536" s="186">
        <v>39385</v>
      </c>
      <c r="D536" s="188">
        <f t="shared" si="11"/>
        <v>2007</v>
      </c>
      <c r="E536" s="183" t="s">
        <v>529</v>
      </c>
      <c r="F536" s="178">
        <v>300</v>
      </c>
      <c r="G536" s="178">
        <v>6156</v>
      </c>
      <c r="H536" s="178">
        <v>2541</v>
      </c>
      <c r="I536" s="178">
        <v>3615</v>
      </c>
    </row>
    <row r="537" spans="1:9">
      <c r="A537" s="179" t="s">
        <v>429</v>
      </c>
      <c r="B537" s="179" t="s">
        <v>518</v>
      </c>
      <c r="C537" s="186">
        <v>39387</v>
      </c>
      <c r="D537" s="188">
        <f t="shared" si="11"/>
        <v>2007</v>
      </c>
      <c r="E537" s="183" t="s">
        <v>523</v>
      </c>
      <c r="F537" s="178">
        <v>500</v>
      </c>
      <c r="G537" s="178">
        <v>10645</v>
      </c>
      <c r="H537" s="178">
        <v>5110</v>
      </c>
      <c r="I537" s="178">
        <v>5535</v>
      </c>
    </row>
    <row r="538" spans="1:9">
      <c r="A538" s="179" t="s">
        <v>429</v>
      </c>
      <c r="B538" s="179" t="s">
        <v>516</v>
      </c>
      <c r="C538" s="186">
        <v>39388</v>
      </c>
      <c r="D538" s="188">
        <f t="shared" si="11"/>
        <v>2007</v>
      </c>
      <c r="E538" s="183" t="s">
        <v>533</v>
      </c>
      <c r="F538" s="178">
        <v>1000</v>
      </c>
      <c r="G538" s="178">
        <v>20090</v>
      </c>
      <c r="H538" s="178">
        <v>9840</v>
      </c>
      <c r="I538" s="178">
        <v>10250</v>
      </c>
    </row>
    <row r="539" spans="1:9">
      <c r="A539" s="179" t="s">
        <v>528</v>
      </c>
      <c r="B539" s="179" t="s">
        <v>518</v>
      </c>
      <c r="C539" s="186">
        <v>39390</v>
      </c>
      <c r="D539" s="188">
        <f t="shared" si="11"/>
        <v>2007</v>
      </c>
      <c r="E539" s="183" t="s">
        <v>532</v>
      </c>
      <c r="F539" s="178">
        <v>200</v>
      </c>
      <c r="G539" s="178">
        <v>4262</v>
      </c>
      <c r="H539" s="178">
        <v>2044</v>
      </c>
      <c r="I539" s="178">
        <v>2218</v>
      </c>
    </row>
    <row r="540" spans="1:9">
      <c r="A540" s="179" t="s">
        <v>423</v>
      </c>
      <c r="B540" s="179" t="s">
        <v>516</v>
      </c>
      <c r="C540" s="186">
        <v>39396</v>
      </c>
      <c r="D540" s="188">
        <f t="shared" si="11"/>
        <v>2007</v>
      </c>
      <c r="E540" s="183" t="s">
        <v>529</v>
      </c>
      <c r="F540" s="178">
        <v>100</v>
      </c>
      <c r="G540" s="178">
        <v>2157</v>
      </c>
      <c r="H540" s="178">
        <v>984</v>
      </c>
      <c r="I540" s="178">
        <v>1173</v>
      </c>
    </row>
    <row r="541" spans="1:9">
      <c r="A541" s="179" t="s">
        <v>528</v>
      </c>
      <c r="B541" s="179" t="s">
        <v>516</v>
      </c>
      <c r="C541" s="186">
        <v>39396</v>
      </c>
      <c r="D541" s="188">
        <f t="shared" si="11"/>
        <v>2007</v>
      </c>
      <c r="E541" s="183" t="s">
        <v>523</v>
      </c>
      <c r="F541" s="178">
        <v>800</v>
      </c>
      <c r="G541" s="178">
        <v>18504</v>
      </c>
      <c r="H541" s="178">
        <v>7872</v>
      </c>
      <c r="I541" s="178">
        <v>10632</v>
      </c>
    </row>
    <row r="542" spans="1:9">
      <c r="A542" s="179" t="s">
        <v>528</v>
      </c>
      <c r="B542" s="179" t="s">
        <v>516</v>
      </c>
      <c r="C542" s="186">
        <v>39398</v>
      </c>
      <c r="D542" s="188">
        <f t="shared" si="11"/>
        <v>2007</v>
      </c>
      <c r="E542" s="183" t="s">
        <v>525</v>
      </c>
      <c r="F542" s="178">
        <v>900</v>
      </c>
      <c r="G542" s="178">
        <v>21357</v>
      </c>
      <c r="H542" s="178">
        <v>8856</v>
      </c>
      <c r="I542" s="178">
        <v>12501</v>
      </c>
    </row>
    <row r="543" spans="1:9">
      <c r="A543" s="179" t="s">
        <v>423</v>
      </c>
      <c r="B543" s="179" t="s">
        <v>517</v>
      </c>
      <c r="C543" s="186">
        <v>39398</v>
      </c>
      <c r="D543" s="188">
        <f t="shared" si="11"/>
        <v>2007</v>
      </c>
      <c r="E543" s="183" t="s">
        <v>530</v>
      </c>
      <c r="F543" s="178">
        <v>800</v>
      </c>
      <c r="G543" s="178">
        <v>16144</v>
      </c>
      <c r="H543" s="178">
        <v>6776</v>
      </c>
      <c r="I543" s="178">
        <v>9368</v>
      </c>
    </row>
    <row r="544" spans="1:9">
      <c r="A544" s="179" t="s">
        <v>429</v>
      </c>
      <c r="B544" s="179" t="s">
        <v>516</v>
      </c>
      <c r="C544" s="186">
        <v>39400</v>
      </c>
      <c r="D544" s="188">
        <f t="shared" si="11"/>
        <v>2007</v>
      </c>
      <c r="E544" s="183" t="s">
        <v>523</v>
      </c>
      <c r="F544" s="178">
        <v>500</v>
      </c>
      <c r="G544" s="178">
        <v>9890</v>
      </c>
      <c r="H544" s="178">
        <v>4920</v>
      </c>
      <c r="I544" s="178">
        <v>4970</v>
      </c>
    </row>
    <row r="545" spans="1:9">
      <c r="A545" s="179" t="s">
        <v>423</v>
      </c>
      <c r="B545" s="179" t="s">
        <v>517</v>
      </c>
      <c r="C545" s="186">
        <v>39405</v>
      </c>
      <c r="D545" s="188">
        <f t="shared" si="11"/>
        <v>2007</v>
      </c>
      <c r="E545" s="183" t="s">
        <v>531</v>
      </c>
      <c r="F545" s="178">
        <v>100</v>
      </c>
      <c r="G545" s="178">
        <v>1882</v>
      </c>
      <c r="H545" s="178">
        <v>847</v>
      </c>
      <c r="I545" s="178">
        <v>1035</v>
      </c>
    </row>
    <row r="546" spans="1:9">
      <c r="A546" s="179" t="s">
        <v>423</v>
      </c>
      <c r="B546" s="179" t="s">
        <v>518</v>
      </c>
      <c r="C546" s="186">
        <v>39405</v>
      </c>
      <c r="D546" s="188">
        <f t="shared" si="11"/>
        <v>2007</v>
      </c>
      <c r="E546" s="183" t="s">
        <v>529</v>
      </c>
      <c r="F546" s="178">
        <v>500</v>
      </c>
      <c r="G546" s="178">
        <v>12575</v>
      </c>
      <c r="H546" s="178">
        <v>5110</v>
      </c>
      <c r="I546" s="178">
        <v>7465</v>
      </c>
    </row>
    <row r="547" spans="1:9">
      <c r="A547" s="179" t="s">
        <v>429</v>
      </c>
      <c r="B547" s="179" t="s">
        <v>517</v>
      </c>
      <c r="C547" s="186">
        <v>39405</v>
      </c>
      <c r="D547" s="188">
        <f t="shared" si="11"/>
        <v>2007</v>
      </c>
      <c r="E547" s="183" t="s">
        <v>524</v>
      </c>
      <c r="F547" s="178">
        <v>500</v>
      </c>
      <c r="G547" s="178">
        <v>10245</v>
      </c>
      <c r="H547" s="178">
        <v>4235</v>
      </c>
      <c r="I547" s="178">
        <v>6010</v>
      </c>
    </row>
    <row r="548" spans="1:9">
      <c r="A548" s="179" t="s">
        <v>528</v>
      </c>
      <c r="B548" s="179" t="s">
        <v>517</v>
      </c>
      <c r="C548" s="186">
        <v>39409</v>
      </c>
      <c r="D548" s="188">
        <f t="shared" si="11"/>
        <v>2007</v>
      </c>
      <c r="E548" s="183" t="s">
        <v>533</v>
      </c>
      <c r="F548" s="178">
        <v>700</v>
      </c>
      <c r="G548" s="178">
        <v>11858</v>
      </c>
      <c r="H548" s="178">
        <v>5929</v>
      </c>
      <c r="I548" s="178">
        <v>5929</v>
      </c>
    </row>
    <row r="549" spans="1:9">
      <c r="A549" s="179" t="s">
        <v>429</v>
      </c>
      <c r="B549" s="179" t="s">
        <v>516</v>
      </c>
      <c r="C549" s="186">
        <v>39411</v>
      </c>
      <c r="D549" s="188">
        <f t="shared" si="11"/>
        <v>2007</v>
      </c>
      <c r="E549" s="183" t="s">
        <v>542</v>
      </c>
      <c r="F549" s="178">
        <v>100</v>
      </c>
      <c r="G549" s="178">
        <v>2029</v>
      </c>
      <c r="H549" s="178">
        <v>984</v>
      </c>
      <c r="I549" s="178">
        <v>1045</v>
      </c>
    </row>
    <row r="550" spans="1:9">
      <c r="A550" s="179" t="s">
        <v>528</v>
      </c>
      <c r="B550" s="179" t="s">
        <v>516</v>
      </c>
      <c r="C550" s="186">
        <v>39412</v>
      </c>
      <c r="D550" s="188">
        <f t="shared" si="11"/>
        <v>2007</v>
      </c>
      <c r="E550" s="183" t="s">
        <v>524</v>
      </c>
      <c r="F550" s="178">
        <v>700</v>
      </c>
      <c r="G550" s="178">
        <v>15680</v>
      </c>
      <c r="H550" s="178">
        <v>6888</v>
      </c>
      <c r="I550" s="178">
        <v>8792</v>
      </c>
    </row>
    <row r="551" spans="1:9">
      <c r="A551" s="179" t="s">
        <v>528</v>
      </c>
      <c r="B551" s="179" t="s">
        <v>517</v>
      </c>
      <c r="C551" s="186">
        <v>39419</v>
      </c>
      <c r="D551" s="188">
        <f t="shared" si="11"/>
        <v>2007</v>
      </c>
      <c r="E551" s="183" t="s">
        <v>531</v>
      </c>
      <c r="F551" s="178">
        <v>700</v>
      </c>
      <c r="G551" s="178">
        <v>13314</v>
      </c>
      <c r="H551" s="178">
        <v>5929</v>
      </c>
      <c r="I551" s="178">
        <v>7385</v>
      </c>
    </row>
    <row r="552" spans="1:9">
      <c r="A552" s="179" t="s">
        <v>429</v>
      </c>
      <c r="B552" s="179" t="s">
        <v>517</v>
      </c>
      <c r="C552" s="186">
        <v>39420</v>
      </c>
      <c r="D552" s="188">
        <f t="shared" si="11"/>
        <v>2007</v>
      </c>
      <c r="E552" s="183" t="s">
        <v>530</v>
      </c>
      <c r="F552" s="178">
        <v>600</v>
      </c>
      <c r="G552" s="178">
        <v>11628</v>
      </c>
      <c r="H552" s="178">
        <v>5082</v>
      </c>
      <c r="I552" s="178">
        <v>6546</v>
      </c>
    </row>
    <row r="553" spans="1:9">
      <c r="A553" s="179" t="s">
        <v>429</v>
      </c>
      <c r="B553" s="179" t="s">
        <v>517</v>
      </c>
      <c r="C553" s="186">
        <v>39428</v>
      </c>
      <c r="D553" s="188">
        <f t="shared" si="11"/>
        <v>2007</v>
      </c>
      <c r="E553" s="183" t="s">
        <v>523</v>
      </c>
      <c r="F553" s="178">
        <v>600</v>
      </c>
      <c r="G553" s="178">
        <v>11208</v>
      </c>
      <c r="H553" s="178">
        <v>5082</v>
      </c>
      <c r="I553" s="178">
        <v>6126</v>
      </c>
    </row>
    <row r="554" spans="1:9">
      <c r="A554" s="179" t="s">
        <v>429</v>
      </c>
      <c r="B554" s="179" t="s">
        <v>517</v>
      </c>
      <c r="C554" s="186">
        <v>39430</v>
      </c>
      <c r="D554" s="188">
        <f t="shared" si="11"/>
        <v>2007</v>
      </c>
      <c r="E554" s="183" t="s">
        <v>534</v>
      </c>
      <c r="F554" s="178">
        <v>600</v>
      </c>
      <c r="G554" s="178">
        <v>12606</v>
      </c>
      <c r="H554" s="178">
        <v>5082</v>
      </c>
      <c r="I554" s="178">
        <v>7524</v>
      </c>
    </row>
    <row r="555" spans="1:9">
      <c r="A555" s="179" t="s">
        <v>429</v>
      </c>
      <c r="B555" s="179" t="s">
        <v>518</v>
      </c>
      <c r="C555" s="186">
        <v>39438</v>
      </c>
      <c r="D555" s="188">
        <f t="shared" si="11"/>
        <v>2007</v>
      </c>
      <c r="E555" s="183" t="s">
        <v>537</v>
      </c>
      <c r="F555" s="178">
        <v>1000</v>
      </c>
      <c r="G555" s="178">
        <v>23990</v>
      </c>
      <c r="H555" s="178">
        <v>10220</v>
      </c>
      <c r="I555" s="178">
        <v>13770</v>
      </c>
    </row>
    <row r="556" spans="1:9">
      <c r="A556" s="179" t="s">
        <v>429</v>
      </c>
      <c r="B556" s="179" t="s">
        <v>516</v>
      </c>
      <c r="C556" s="186">
        <v>39438</v>
      </c>
      <c r="D556" s="188">
        <f t="shared" si="11"/>
        <v>2007</v>
      </c>
      <c r="E556" s="183" t="s">
        <v>533</v>
      </c>
      <c r="F556" s="178">
        <v>700</v>
      </c>
      <c r="G556" s="178">
        <v>16408</v>
      </c>
      <c r="H556" s="178">
        <v>6888</v>
      </c>
      <c r="I556" s="178">
        <v>9520</v>
      </c>
    </row>
    <row r="557" spans="1:9">
      <c r="A557" s="179" t="s">
        <v>423</v>
      </c>
      <c r="B557" s="179" t="s">
        <v>517</v>
      </c>
      <c r="C557" s="186">
        <v>39441</v>
      </c>
      <c r="D557" s="188">
        <f t="shared" si="11"/>
        <v>2007</v>
      </c>
      <c r="E557" s="183" t="s">
        <v>534</v>
      </c>
      <c r="F557" s="178">
        <v>500</v>
      </c>
      <c r="G557" s="178">
        <v>8780</v>
      </c>
      <c r="H557" s="178">
        <v>4235</v>
      </c>
      <c r="I557" s="178">
        <v>4545</v>
      </c>
    </row>
    <row r="558" spans="1:9">
      <c r="A558" s="179" t="s">
        <v>429</v>
      </c>
      <c r="B558" s="179" t="s">
        <v>517</v>
      </c>
      <c r="C558" s="186">
        <v>39441</v>
      </c>
      <c r="D558" s="188">
        <f t="shared" si="11"/>
        <v>2007</v>
      </c>
      <c r="E558" s="183" t="s">
        <v>532</v>
      </c>
      <c r="F558" s="178">
        <v>900</v>
      </c>
      <c r="G558" s="178">
        <v>18243</v>
      </c>
      <c r="H558" s="178">
        <v>7623</v>
      </c>
      <c r="I558" s="178">
        <v>10620</v>
      </c>
    </row>
    <row r="559" spans="1:9">
      <c r="A559" s="179" t="s">
        <v>528</v>
      </c>
      <c r="B559" s="179" t="s">
        <v>517</v>
      </c>
      <c r="C559" s="186">
        <v>39442</v>
      </c>
      <c r="D559" s="188">
        <f t="shared" si="11"/>
        <v>2007</v>
      </c>
      <c r="E559" s="183" t="s">
        <v>529</v>
      </c>
      <c r="F559" s="178">
        <v>200</v>
      </c>
      <c r="G559" s="178">
        <v>3802</v>
      </c>
      <c r="H559" s="178">
        <v>1694</v>
      </c>
      <c r="I559" s="178">
        <v>2108</v>
      </c>
    </row>
    <row r="560" spans="1:9">
      <c r="A560" s="179" t="s">
        <v>528</v>
      </c>
      <c r="B560" s="179" t="s">
        <v>516</v>
      </c>
      <c r="C560" s="186">
        <v>39445</v>
      </c>
      <c r="D560" s="188">
        <f t="shared" si="11"/>
        <v>2007</v>
      </c>
      <c r="E560" s="183" t="s">
        <v>525</v>
      </c>
      <c r="F560" s="178">
        <v>500</v>
      </c>
      <c r="G560" s="178">
        <v>10195</v>
      </c>
      <c r="H560" s="178">
        <v>4920</v>
      </c>
      <c r="I560" s="178">
        <v>5275</v>
      </c>
    </row>
    <row r="561" spans="1:9">
      <c r="A561" s="179" t="s">
        <v>429</v>
      </c>
      <c r="B561" s="179" t="s">
        <v>517</v>
      </c>
      <c r="C561" s="186">
        <v>39445</v>
      </c>
      <c r="D561" s="188">
        <f t="shared" si="11"/>
        <v>2007</v>
      </c>
      <c r="E561" s="183" t="s">
        <v>547</v>
      </c>
      <c r="F561" s="178">
        <v>800</v>
      </c>
      <c r="G561" s="178">
        <v>14440</v>
      </c>
      <c r="H561" s="178">
        <v>6776</v>
      </c>
      <c r="I561" s="178">
        <v>7664</v>
      </c>
    </row>
    <row r="562" spans="1:9">
      <c r="A562" s="179" t="s">
        <v>528</v>
      </c>
      <c r="B562" s="179" t="s">
        <v>518</v>
      </c>
      <c r="C562" s="186">
        <v>39446</v>
      </c>
      <c r="D562" s="188">
        <f t="shared" si="11"/>
        <v>2007</v>
      </c>
      <c r="E562" s="183" t="s">
        <v>531</v>
      </c>
      <c r="F562" s="178">
        <v>500</v>
      </c>
      <c r="G562" s="178">
        <v>11000</v>
      </c>
      <c r="H562" s="178">
        <v>5110</v>
      </c>
      <c r="I562" s="178">
        <v>5890</v>
      </c>
    </row>
    <row r="563" spans="1:9">
      <c r="A563" s="179" t="s">
        <v>429</v>
      </c>
      <c r="B563" s="179" t="s">
        <v>516</v>
      </c>
      <c r="C563" s="186">
        <v>39446</v>
      </c>
      <c r="D563" s="188">
        <f t="shared" si="11"/>
        <v>2007</v>
      </c>
      <c r="E563" s="183" t="s">
        <v>534</v>
      </c>
      <c r="F563" s="178">
        <v>400</v>
      </c>
      <c r="G563" s="178">
        <v>8592</v>
      </c>
      <c r="H563" s="178">
        <v>3936</v>
      </c>
      <c r="I563" s="178">
        <v>4656</v>
      </c>
    </row>
    <row r="564" spans="1:9">
      <c r="A564" s="179" t="s">
        <v>528</v>
      </c>
      <c r="B564" s="179" t="s">
        <v>518</v>
      </c>
      <c r="C564" s="186">
        <v>39447</v>
      </c>
      <c r="D564" s="188">
        <f t="shared" si="11"/>
        <v>2007</v>
      </c>
      <c r="E564" s="183" t="s">
        <v>529</v>
      </c>
      <c r="F564" s="178">
        <v>500</v>
      </c>
      <c r="G564" s="178">
        <v>12550</v>
      </c>
      <c r="H564" s="178">
        <v>5110</v>
      </c>
      <c r="I564" s="178">
        <v>7440</v>
      </c>
    </row>
  </sheetData>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173CE-C39D-44F6-A85B-DF6C1ADD78B6}">
  <sheetPr codeName="Sheet37"/>
  <dimension ref="A1:O564"/>
  <sheetViews>
    <sheetView tabSelected="1" topLeftCell="F1" workbookViewId="0">
      <selection activeCell="K13" sqref="K13"/>
    </sheetView>
  </sheetViews>
  <sheetFormatPr defaultRowHeight="15"/>
  <cols>
    <col min="14" max="14" width="12.44140625" bestFit="1" customWidth="1"/>
  </cols>
  <sheetData>
    <row r="1" spans="1:15" ht="15.75">
      <c r="A1" s="189" t="s">
        <v>415</v>
      </c>
      <c r="B1" s="189" t="s">
        <v>401</v>
      </c>
      <c r="C1" s="190" t="s">
        <v>519</v>
      </c>
      <c r="D1" s="190" t="s">
        <v>419</v>
      </c>
      <c r="E1" s="189" t="s">
        <v>520</v>
      </c>
      <c r="F1" s="190" t="s">
        <v>521</v>
      </c>
      <c r="G1" s="190" t="s">
        <v>417</v>
      </c>
      <c r="H1" s="190" t="s">
        <v>522</v>
      </c>
      <c r="I1" s="190" t="s">
        <v>496</v>
      </c>
      <c r="L1" s="313" t="s">
        <v>401</v>
      </c>
      <c r="M1" s="249" t="s">
        <v>859</v>
      </c>
      <c r="N1" s="249" t="s">
        <v>857</v>
      </c>
      <c r="O1" s="249" t="s">
        <v>858</v>
      </c>
    </row>
    <row r="2" spans="1:15">
      <c r="A2" s="179" t="s">
        <v>423</v>
      </c>
      <c r="B2" s="179" t="s">
        <v>516</v>
      </c>
      <c r="C2" s="186">
        <v>38355</v>
      </c>
      <c r="D2" s="188">
        <f t="shared" ref="D2:D65" si="0">YEAR(C2)</f>
        <v>2005</v>
      </c>
      <c r="E2" s="183" t="s">
        <v>523</v>
      </c>
      <c r="F2" s="178">
        <v>500</v>
      </c>
      <c r="G2" s="178">
        <v>10475</v>
      </c>
      <c r="H2" s="178">
        <v>4920</v>
      </c>
      <c r="I2" s="178">
        <v>5555</v>
      </c>
      <c r="L2" s="318" t="s">
        <v>516</v>
      </c>
      <c r="M2" s="143">
        <f>COUNTIF($B$2:$B$564,$L2)</f>
        <v>178</v>
      </c>
      <c r="N2" s="143">
        <f>SUMIF($B$2:$B$564,$L2,$G$2:$G$564)</f>
        <v>2163714</v>
      </c>
      <c r="O2" s="314">
        <f>($N2/$N$5)</f>
        <v>0.32256628539976973</v>
      </c>
    </row>
    <row r="3" spans="1:15">
      <c r="A3" s="179" t="s">
        <v>429</v>
      </c>
      <c r="B3" s="179" t="s">
        <v>518</v>
      </c>
      <c r="C3" s="186">
        <v>38355</v>
      </c>
      <c r="D3" s="188">
        <f t="shared" si="0"/>
        <v>2005</v>
      </c>
      <c r="E3" s="183" t="s">
        <v>524</v>
      </c>
      <c r="F3" s="178">
        <v>900</v>
      </c>
      <c r="G3" s="178">
        <v>19161</v>
      </c>
      <c r="H3" s="178">
        <v>9198</v>
      </c>
      <c r="I3" s="178">
        <v>9963</v>
      </c>
      <c r="L3" s="318" t="s">
        <v>518</v>
      </c>
      <c r="M3" s="143">
        <f t="shared" ref="M3:M4" si="1">COUNTIF($B$2:$B$564,$L3)</f>
        <v>182</v>
      </c>
      <c r="N3" s="143">
        <f t="shared" ref="N3:N4" si="2">SUMIF($B$2:$B$564,$L3,$G$2:$G$564)</f>
        <v>2442728</v>
      </c>
      <c r="O3" s="314">
        <f t="shared" ref="O3:O4" si="3">($N3/$N$5)</f>
        <v>0.36416166702346459</v>
      </c>
    </row>
    <row r="4" spans="1:15">
      <c r="A4" s="179" t="s">
        <v>429</v>
      </c>
      <c r="B4" s="179" t="s">
        <v>516</v>
      </c>
      <c r="C4" s="186">
        <v>38360</v>
      </c>
      <c r="D4" s="188">
        <f t="shared" si="0"/>
        <v>2005</v>
      </c>
      <c r="E4" s="183" t="s">
        <v>525</v>
      </c>
      <c r="F4" s="178">
        <v>500</v>
      </c>
      <c r="G4" s="178">
        <v>11845</v>
      </c>
      <c r="H4" s="178">
        <v>4920</v>
      </c>
      <c r="I4" s="178">
        <v>6925</v>
      </c>
      <c r="L4" s="318" t="s">
        <v>517</v>
      </c>
      <c r="M4" s="143">
        <f t="shared" si="1"/>
        <v>203</v>
      </c>
      <c r="N4" s="143">
        <f t="shared" si="2"/>
        <v>2101370</v>
      </c>
      <c r="O4" s="314">
        <f t="shared" si="3"/>
        <v>0.31327204757676574</v>
      </c>
    </row>
    <row r="5" spans="1:15" ht="15.75">
      <c r="A5" s="179" t="s">
        <v>429</v>
      </c>
      <c r="B5" s="179" t="s">
        <v>518</v>
      </c>
      <c r="C5" s="186">
        <v>38365</v>
      </c>
      <c r="D5" s="188">
        <f t="shared" si="0"/>
        <v>2005</v>
      </c>
      <c r="E5" s="183" t="s">
        <v>526</v>
      </c>
      <c r="F5" s="178">
        <v>800</v>
      </c>
      <c r="G5" s="178">
        <v>16936</v>
      </c>
      <c r="H5" s="178">
        <v>8176</v>
      </c>
      <c r="I5" s="178">
        <v>8760</v>
      </c>
      <c r="L5" s="319" t="s">
        <v>383</v>
      </c>
      <c r="M5" s="315">
        <f>SUM(M2:M4)</f>
        <v>563</v>
      </c>
      <c r="N5" s="315">
        <f>SUM(N2:N4)</f>
        <v>6707812</v>
      </c>
      <c r="O5" s="316">
        <f>($N5/$N$5)</f>
        <v>1</v>
      </c>
    </row>
    <row r="6" spans="1:15">
      <c r="A6" s="179" t="s">
        <v>423</v>
      </c>
      <c r="B6" s="179" t="s">
        <v>517</v>
      </c>
      <c r="C6" s="186">
        <v>38367</v>
      </c>
      <c r="D6" s="188">
        <f t="shared" si="0"/>
        <v>2005</v>
      </c>
      <c r="E6" s="183" t="s">
        <v>527</v>
      </c>
      <c r="F6" s="178">
        <v>800</v>
      </c>
      <c r="G6" s="178">
        <v>15104</v>
      </c>
      <c r="H6" s="178">
        <v>6776</v>
      </c>
      <c r="I6" s="178">
        <v>8328</v>
      </c>
      <c r="L6" s="317"/>
      <c r="M6" s="317"/>
      <c r="N6" s="317"/>
      <c r="O6" s="317"/>
    </row>
    <row r="7" spans="1:15">
      <c r="A7" s="179" t="s">
        <v>528</v>
      </c>
      <c r="B7" s="179" t="s">
        <v>518</v>
      </c>
      <c r="C7" s="186">
        <v>38368</v>
      </c>
      <c r="D7" s="188">
        <f t="shared" si="0"/>
        <v>2005</v>
      </c>
      <c r="E7" s="183" t="s">
        <v>529</v>
      </c>
      <c r="F7" s="178">
        <v>900</v>
      </c>
      <c r="G7" s="178">
        <v>19593</v>
      </c>
      <c r="H7" s="178">
        <v>9198</v>
      </c>
      <c r="I7" s="178">
        <v>10395</v>
      </c>
    </row>
    <row r="8" spans="1:15">
      <c r="A8" s="179" t="s">
        <v>528</v>
      </c>
      <c r="B8" s="179" t="s">
        <v>518</v>
      </c>
      <c r="C8" s="186">
        <v>38369</v>
      </c>
      <c r="D8" s="188">
        <f t="shared" si="0"/>
        <v>2005</v>
      </c>
      <c r="E8" s="183" t="s">
        <v>530</v>
      </c>
      <c r="F8" s="178">
        <v>1000</v>
      </c>
      <c r="G8" s="178">
        <v>24430</v>
      </c>
      <c r="H8" s="178">
        <v>10220</v>
      </c>
      <c r="I8" s="178">
        <v>14210</v>
      </c>
    </row>
    <row r="9" spans="1:15">
      <c r="A9" s="179" t="s">
        <v>423</v>
      </c>
      <c r="B9" s="179" t="s">
        <v>517</v>
      </c>
      <c r="C9" s="186">
        <v>38369</v>
      </c>
      <c r="D9" s="188">
        <f t="shared" si="0"/>
        <v>2005</v>
      </c>
      <c r="E9" s="183" t="s">
        <v>529</v>
      </c>
      <c r="F9" s="178">
        <v>800</v>
      </c>
      <c r="G9" s="178">
        <v>16856</v>
      </c>
      <c r="H9" s="178">
        <v>6776</v>
      </c>
      <c r="I9" s="178">
        <v>10080</v>
      </c>
    </row>
    <row r="10" spans="1:15">
      <c r="A10" s="179" t="s">
        <v>528</v>
      </c>
      <c r="B10" s="179" t="s">
        <v>516</v>
      </c>
      <c r="C10" s="186">
        <v>38371</v>
      </c>
      <c r="D10" s="188">
        <f t="shared" si="0"/>
        <v>2005</v>
      </c>
      <c r="E10" s="183" t="s">
        <v>531</v>
      </c>
      <c r="F10" s="178">
        <v>300</v>
      </c>
      <c r="G10" s="178">
        <v>7233</v>
      </c>
      <c r="H10" s="178">
        <v>2952</v>
      </c>
      <c r="I10" s="178">
        <v>4281</v>
      </c>
    </row>
    <row r="11" spans="1:15">
      <c r="A11" s="179" t="s">
        <v>429</v>
      </c>
      <c r="B11" s="179" t="s">
        <v>516</v>
      </c>
      <c r="C11" s="186">
        <v>38373</v>
      </c>
      <c r="D11" s="188">
        <f t="shared" si="0"/>
        <v>2005</v>
      </c>
      <c r="E11" s="183" t="s">
        <v>530</v>
      </c>
      <c r="F11" s="178">
        <v>1000</v>
      </c>
      <c r="G11" s="178">
        <v>20540</v>
      </c>
      <c r="H11" s="178">
        <v>9840</v>
      </c>
      <c r="I11" s="178">
        <v>10700</v>
      </c>
    </row>
    <row r="12" spans="1:15">
      <c r="A12" s="179" t="s">
        <v>528</v>
      </c>
      <c r="B12" s="179" t="s">
        <v>517</v>
      </c>
      <c r="C12" s="186">
        <v>38374</v>
      </c>
      <c r="D12" s="188">
        <f t="shared" si="0"/>
        <v>2005</v>
      </c>
      <c r="E12" s="183" t="s">
        <v>524</v>
      </c>
      <c r="F12" s="178">
        <v>900</v>
      </c>
      <c r="G12" s="178">
        <v>17136</v>
      </c>
      <c r="H12" s="178">
        <v>7623</v>
      </c>
      <c r="I12" s="178">
        <v>9513</v>
      </c>
    </row>
    <row r="13" spans="1:15">
      <c r="A13" s="179" t="s">
        <v>429</v>
      </c>
      <c r="B13" s="179" t="s">
        <v>518</v>
      </c>
      <c r="C13" s="186">
        <v>38374</v>
      </c>
      <c r="D13" s="188">
        <f t="shared" si="0"/>
        <v>2005</v>
      </c>
      <c r="E13" s="183" t="s">
        <v>524</v>
      </c>
      <c r="F13" s="178">
        <v>1000</v>
      </c>
      <c r="G13" s="178">
        <v>20490</v>
      </c>
      <c r="H13" s="178">
        <v>10220</v>
      </c>
      <c r="I13" s="178">
        <v>10270</v>
      </c>
    </row>
    <row r="14" spans="1:15">
      <c r="A14" s="179" t="s">
        <v>423</v>
      </c>
      <c r="B14" s="179" t="s">
        <v>518</v>
      </c>
      <c r="C14" s="186">
        <v>38375</v>
      </c>
      <c r="D14" s="188">
        <f t="shared" si="0"/>
        <v>2005</v>
      </c>
      <c r="E14" s="183" t="s">
        <v>532</v>
      </c>
      <c r="F14" s="178">
        <v>500</v>
      </c>
      <c r="G14" s="178">
        <v>10445</v>
      </c>
      <c r="H14" s="178">
        <v>5110</v>
      </c>
      <c r="I14" s="178">
        <v>5335</v>
      </c>
    </row>
    <row r="15" spans="1:15">
      <c r="A15" s="179" t="s">
        <v>528</v>
      </c>
      <c r="B15" s="179" t="s">
        <v>518</v>
      </c>
      <c r="C15" s="186">
        <v>38377</v>
      </c>
      <c r="D15" s="188">
        <f t="shared" si="0"/>
        <v>2005</v>
      </c>
      <c r="E15" s="183" t="s">
        <v>533</v>
      </c>
      <c r="F15" s="178">
        <v>1000</v>
      </c>
      <c r="G15" s="178">
        <v>20670</v>
      </c>
      <c r="H15" s="178">
        <v>10220</v>
      </c>
      <c r="I15" s="178">
        <v>10450</v>
      </c>
    </row>
    <row r="16" spans="1:15">
      <c r="A16" s="179" t="s">
        <v>429</v>
      </c>
      <c r="B16" s="179" t="s">
        <v>518</v>
      </c>
      <c r="C16" s="186">
        <v>38380</v>
      </c>
      <c r="D16" s="188">
        <f t="shared" si="0"/>
        <v>2005</v>
      </c>
      <c r="E16" s="183" t="s">
        <v>530</v>
      </c>
      <c r="F16" s="178">
        <v>900</v>
      </c>
      <c r="G16" s="178">
        <v>19368</v>
      </c>
      <c r="H16" s="178">
        <v>9198</v>
      </c>
      <c r="I16" s="178">
        <v>10170</v>
      </c>
    </row>
    <row r="17" spans="1:9">
      <c r="A17" s="179" t="s">
        <v>423</v>
      </c>
      <c r="B17" s="179" t="s">
        <v>518</v>
      </c>
      <c r="C17" s="186">
        <v>38383</v>
      </c>
      <c r="D17" s="188">
        <f t="shared" si="0"/>
        <v>2005</v>
      </c>
      <c r="E17" s="183" t="s">
        <v>534</v>
      </c>
      <c r="F17" s="178">
        <v>500</v>
      </c>
      <c r="G17" s="178">
        <v>11965</v>
      </c>
      <c r="H17" s="178">
        <v>5110</v>
      </c>
      <c r="I17" s="178">
        <v>6855</v>
      </c>
    </row>
    <row r="18" spans="1:9">
      <c r="A18" s="179" t="s">
        <v>528</v>
      </c>
      <c r="B18" s="179" t="s">
        <v>517</v>
      </c>
      <c r="C18" s="186">
        <v>38385</v>
      </c>
      <c r="D18" s="188">
        <f t="shared" si="0"/>
        <v>2005</v>
      </c>
      <c r="E18" s="183" t="s">
        <v>523</v>
      </c>
      <c r="F18" s="178">
        <v>500</v>
      </c>
      <c r="G18" s="178">
        <v>10445</v>
      </c>
      <c r="H18" s="178">
        <v>4235</v>
      </c>
      <c r="I18" s="178">
        <v>6210</v>
      </c>
    </row>
    <row r="19" spans="1:9">
      <c r="A19" s="179" t="s">
        <v>429</v>
      </c>
      <c r="B19" s="179" t="s">
        <v>516</v>
      </c>
      <c r="C19" s="186">
        <v>38388</v>
      </c>
      <c r="D19" s="188">
        <f t="shared" si="0"/>
        <v>2005</v>
      </c>
      <c r="E19" s="183" t="s">
        <v>535</v>
      </c>
      <c r="F19" s="178">
        <v>200</v>
      </c>
      <c r="G19" s="178">
        <v>4380</v>
      </c>
      <c r="H19" s="178">
        <v>1968</v>
      </c>
      <c r="I19" s="178">
        <v>2412</v>
      </c>
    </row>
    <row r="20" spans="1:9">
      <c r="A20" s="179" t="s">
        <v>429</v>
      </c>
      <c r="B20" s="179" t="s">
        <v>516</v>
      </c>
      <c r="C20" s="186">
        <v>38390</v>
      </c>
      <c r="D20" s="188">
        <f t="shared" si="0"/>
        <v>2005</v>
      </c>
      <c r="E20" s="183" t="s">
        <v>523</v>
      </c>
      <c r="F20" s="178">
        <v>900</v>
      </c>
      <c r="G20" s="178">
        <v>21555</v>
      </c>
      <c r="H20" s="178">
        <v>8856</v>
      </c>
      <c r="I20" s="178">
        <v>12699</v>
      </c>
    </row>
    <row r="21" spans="1:9">
      <c r="A21" s="179" t="s">
        <v>429</v>
      </c>
      <c r="B21" s="179" t="s">
        <v>516</v>
      </c>
      <c r="C21" s="186">
        <v>38394</v>
      </c>
      <c r="D21" s="188">
        <f t="shared" si="0"/>
        <v>2005</v>
      </c>
      <c r="E21" s="183" t="s">
        <v>532</v>
      </c>
      <c r="F21" s="178">
        <v>500</v>
      </c>
      <c r="G21" s="178">
        <v>11435</v>
      </c>
      <c r="H21" s="178">
        <v>4920</v>
      </c>
      <c r="I21" s="178">
        <v>6515</v>
      </c>
    </row>
    <row r="22" spans="1:9">
      <c r="A22" s="179" t="s">
        <v>528</v>
      </c>
      <c r="B22" s="179" t="s">
        <v>517</v>
      </c>
      <c r="C22" s="186">
        <v>38397</v>
      </c>
      <c r="D22" s="188">
        <f t="shared" si="0"/>
        <v>2005</v>
      </c>
      <c r="E22" s="183" t="s">
        <v>531</v>
      </c>
      <c r="F22" s="178">
        <v>700</v>
      </c>
      <c r="G22" s="178">
        <v>13734</v>
      </c>
      <c r="H22" s="178">
        <v>5929</v>
      </c>
      <c r="I22" s="178">
        <v>7805</v>
      </c>
    </row>
    <row r="23" spans="1:9">
      <c r="A23" s="179" t="s">
        <v>429</v>
      </c>
      <c r="B23" s="179" t="s">
        <v>517</v>
      </c>
      <c r="C23" s="186">
        <v>38398</v>
      </c>
      <c r="D23" s="188">
        <f t="shared" si="0"/>
        <v>2005</v>
      </c>
      <c r="E23" s="183" t="s">
        <v>534</v>
      </c>
      <c r="F23" s="178">
        <v>500</v>
      </c>
      <c r="G23" s="178">
        <v>8725</v>
      </c>
      <c r="H23" s="178">
        <v>4235</v>
      </c>
      <c r="I23" s="178">
        <v>4490</v>
      </c>
    </row>
    <row r="24" spans="1:9">
      <c r="A24" s="179" t="s">
        <v>429</v>
      </c>
      <c r="B24" s="179" t="s">
        <v>518</v>
      </c>
      <c r="C24" s="186">
        <v>38400</v>
      </c>
      <c r="D24" s="188">
        <f t="shared" si="0"/>
        <v>2005</v>
      </c>
      <c r="E24" s="183" t="s">
        <v>529</v>
      </c>
      <c r="F24" s="178">
        <v>1000</v>
      </c>
      <c r="G24" s="178">
        <v>25060</v>
      </c>
      <c r="H24" s="178">
        <v>10220</v>
      </c>
      <c r="I24" s="178">
        <v>14840</v>
      </c>
    </row>
    <row r="25" spans="1:9">
      <c r="A25" s="179" t="s">
        <v>423</v>
      </c>
      <c r="B25" s="179" t="s">
        <v>516</v>
      </c>
      <c r="C25" s="186">
        <v>38400</v>
      </c>
      <c r="D25" s="188">
        <f t="shared" si="0"/>
        <v>2005</v>
      </c>
      <c r="E25" s="183" t="s">
        <v>536</v>
      </c>
      <c r="F25" s="178">
        <v>800</v>
      </c>
      <c r="G25" s="178">
        <v>19344</v>
      </c>
      <c r="H25" s="178">
        <v>7872</v>
      </c>
      <c r="I25" s="178">
        <v>11472</v>
      </c>
    </row>
    <row r="26" spans="1:9">
      <c r="A26" s="179" t="s">
        <v>423</v>
      </c>
      <c r="B26" s="179" t="s">
        <v>517</v>
      </c>
      <c r="C26" s="186">
        <v>38402</v>
      </c>
      <c r="D26" s="188">
        <f t="shared" si="0"/>
        <v>2005</v>
      </c>
      <c r="E26" s="183" t="s">
        <v>532</v>
      </c>
      <c r="F26" s="178">
        <v>800</v>
      </c>
      <c r="G26" s="178">
        <v>13552</v>
      </c>
      <c r="H26" s="178">
        <v>6776</v>
      </c>
      <c r="I26" s="178">
        <v>6776</v>
      </c>
    </row>
    <row r="27" spans="1:9">
      <c r="A27" s="179" t="s">
        <v>528</v>
      </c>
      <c r="B27" s="179" t="s">
        <v>518</v>
      </c>
      <c r="C27" s="186">
        <v>38403</v>
      </c>
      <c r="D27" s="188">
        <f t="shared" si="0"/>
        <v>2005</v>
      </c>
      <c r="E27" s="183" t="s">
        <v>530</v>
      </c>
      <c r="F27" s="178">
        <v>100</v>
      </c>
      <c r="G27" s="178">
        <v>2058</v>
      </c>
      <c r="H27" s="178">
        <v>1022</v>
      </c>
      <c r="I27" s="178">
        <v>1036</v>
      </c>
    </row>
    <row r="28" spans="1:9">
      <c r="A28" s="179" t="s">
        <v>429</v>
      </c>
      <c r="B28" s="179" t="s">
        <v>517</v>
      </c>
      <c r="C28" s="186">
        <v>38406</v>
      </c>
      <c r="D28" s="188">
        <f t="shared" si="0"/>
        <v>2005</v>
      </c>
      <c r="E28" s="183" t="s">
        <v>529</v>
      </c>
      <c r="F28" s="178">
        <v>300</v>
      </c>
      <c r="G28" s="178">
        <v>6138</v>
      </c>
      <c r="H28" s="178">
        <v>2541</v>
      </c>
      <c r="I28" s="178">
        <v>3597</v>
      </c>
    </row>
    <row r="29" spans="1:9">
      <c r="A29" s="179" t="s">
        <v>429</v>
      </c>
      <c r="B29" s="179" t="s">
        <v>518</v>
      </c>
      <c r="C29" s="186">
        <v>38406</v>
      </c>
      <c r="D29" s="188">
        <f t="shared" si="0"/>
        <v>2005</v>
      </c>
      <c r="E29" s="183" t="s">
        <v>523</v>
      </c>
      <c r="F29" s="178">
        <v>1000</v>
      </c>
      <c r="G29" s="178">
        <v>20940</v>
      </c>
      <c r="H29" s="178">
        <v>10220</v>
      </c>
      <c r="I29" s="178">
        <v>10720</v>
      </c>
    </row>
    <row r="30" spans="1:9">
      <c r="A30" s="179" t="s">
        <v>429</v>
      </c>
      <c r="B30" s="179" t="s">
        <v>518</v>
      </c>
      <c r="C30" s="186">
        <v>38414</v>
      </c>
      <c r="D30" s="188">
        <f t="shared" si="0"/>
        <v>2005</v>
      </c>
      <c r="E30" s="183" t="s">
        <v>529</v>
      </c>
      <c r="F30" s="178">
        <v>1000</v>
      </c>
      <c r="G30" s="178">
        <v>22810</v>
      </c>
      <c r="H30" s="178">
        <v>10220</v>
      </c>
      <c r="I30" s="178">
        <v>12590</v>
      </c>
    </row>
    <row r="31" spans="1:9">
      <c r="A31" s="179" t="s">
        <v>528</v>
      </c>
      <c r="B31" s="179" t="s">
        <v>517</v>
      </c>
      <c r="C31" s="186">
        <v>38416</v>
      </c>
      <c r="D31" s="188">
        <f t="shared" si="0"/>
        <v>2005</v>
      </c>
      <c r="E31" s="183" t="s">
        <v>530</v>
      </c>
      <c r="F31" s="178">
        <v>400</v>
      </c>
      <c r="G31" s="178">
        <v>7520</v>
      </c>
      <c r="H31" s="178">
        <v>3388</v>
      </c>
      <c r="I31" s="178">
        <v>4132</v>
      </c>
    </row>
    <row r="32" spans="1:9">
      <c r="A32" s="179" t="s">
        <v>423</v>
      </c>
      <c r="B32" s="179" t="s">
        <v>518</v>
      </c>
      <c r="C32" s="186">
        <v>38419</v>
      </c>
      <c r="D32" s="188">
        <f t="shared" si="0"/>
        <v>2005</v>
      </c>
      <c r="E32" s="183" t="s">
        <v>537</v>
      </c>
      <c r="F32" s="178">
        <v>300</v>
      </c>
      <c r="G32" s="178">
        <v>6867</v>
      </c>
      <c r="H32" s="178">
        <v>3066</v>
      </c>
      <c r="I32" s="178">
        <v>3801</v>
      </c>
    </row>
    <row r="33" spans="1:9">
      <c r="A33" s="179" t="s">
        <v>429</v>
      </c>
      <c r="B33" s="179" t="s">
        <v>516</v>
      </c>
      <c r="C33" s="186">
        <v>38419</v>
      </c>
      <c r="D33" s="188">
        <f t="shared" si="0"/>
        <v>2005</v>
      </c>
      <c r="E33" s="183" t="s">
        <v>538</v>
      </c>
      <c r="F33" s="178">
        <v>900</v>
      </c>
      <c r="G33" s="178">
        <v>17757</v>
      </c>
      <c r="H33" s="178">
        <v>8856</v>
      </c>
      <c r="I33" s="178">
        <v>8901</v>
      </c>
    </row>
    <row r="34" spans="1:9">
      <c r="A34" s="179" t="s">
        <v>528</v>
      </c>
      <c r="B34" s="179" t="s">
        <v>518</v>
      </c>
      <c r="C34" s="186">
        <v>38421</v>
      </c>
      <c r="D34" s="188">
        <f t="shared" si="0"/>
        <v>2005</v>
      </c>
      <c r="E34" s="183" t="s">
        <v>532</v>
      </c>
      <c r="F34" s="178">
        <v>900</v>
      </c>
      <c r="G34" s="178">
        <v>21438</v>
      </c>
      <c r="H34" s="178">
        <v>9198</v>
      </c>
      <c r="I34" s="178">
        <v>12240</v>
      </c>
    </row>
    <row r="35" spans="1:9">
      <c r="A35" s="179" t="s">
        <v>423</v>
      </c>
      <c r="B35" s="179" t="s">
        <v>518</v>
      </c>
      <c r="C35" s="186">
        <v>38422</v>
      </c>
      <c r="D35" s="188">
        <f t="shared" si="0"/>
        <v>2005</v>
      </c>
      <c r="E35" s="183" t="s">
        <v>531</v>
      </c>
      <c r="F35" s="178">
        <v>200</v>
      </c>
      <c r="G35" s="178">
        <v>5002</v>
      </c>
      <c r="H35" s="178">
        <v>2044</v>
      </c>
      <c r="I35" s="178">
        <v>2958</v>
      </c>
    </row>
    <row r="36" spans="1:9">
      <c r="A36" s="179" t="s">
        <v>423</v>
      </c>
      <c r="B36" s="179" t="s">
        <v>518</v>
      </c>
      <c r="C36" s="186">
        <v>38424</v>
      </c>
      <c r="D36" s="188">
        <f t="shared" si="0"/>
        <v>2005</v>
      </c>
      <c r="E36" s="183" t="s">
        <v>524</v>
      </c>
      <c r="F36" s="178">
        <v>800</v>
      </c>
      <c r="G36" s="178">
        <v>19376</v>
      </c>
      <c r="H36" s="178">
        <v>8176</v>
      </c>
      <c r="I36" s="178">
        <v>11200</v>
      </c>
    </row>
    <row r="37" spans="1:9">
      <c r="A37" s="179" t="s">
        <v>423</v>
      </c>
      <c r="B37" s="179" t="s">
        <v>517</v>
      </c>
      <c r="C37" s="186">
        <v>38425</v>
      </c>
      <c r="D37" s="188">
        <f t="shared" si="0"/>
        <v>2005</v>
      </c>
      <c r="E37" s="183" t="s">
        <v>523</v>
      </c>
      <c r="F37" s="178">
        <v>300</v>
      </c>
      <c r="G37" s="178">
        <v>6069</v>
      </c>
      <c r="H37" s="178">
        <v>2541</v>
      </c>
      <c r="I37" s="178">
        <v>3528</v>
      </c>
    </row>
    <row r="38" spans="1:9">
      <c r="A38" s="179" t="s">
        <v>423</v>
      </c>
      <c r="B38" s="179" t="s">
        <v>518</v>
      </c>
      <c r="C38" s="186">
        <v>38429</v>
      </c>
      <c r="D38" s="188">
        <f t="shared" si="0"/>
        <v>2005</v>
      </c>
      <c r="E38" s="183" t="s">
        <v>532</v>
      </c>
      <c r="F38" s="178">
        <v>500</v>
      </c>
      <c r="G38" s="178">
        <v>12760</v>
      </c>
      <c r="H38" s="178">
        <v>5110</v>
      </c>
      <c r="I38" s="178">
        <v>7650</v>
      </c>
    </row>
    <row r="39" spans="1:9">
      <c r="A39" s="179" t="s">
        <v>528</v>
      </c>
      <c r="B39" s="179" t="s">
        <v>516</v>
      </c>
      <c r="C39" s="186">
        <v>38430</v>
      </c>
      <c r="D39" s="188">
        <f t="shared" si="0"/>
        <v>2005</v>
      </c>
      <c r="E39" s="183" t="s">
        <v>530</v>
      </c>
      <c r="F39" s="178">
        <v>800</v>
      </c>
      <c r="G39" s="178">
        <v>19424</v>
      </c>
      <c r="H39" s="178">
        <v>7872</v>
      </c>
      <c r="I39" s="178">
        <v>11552</v>
      </c>
    </row>
    <row r="40" spans="1:9">
      <c r="A40" s="179" t="s">
        <v>429</v>
      </c>
      <c r="B40" s="179" t="s">
        <v>517</v>
      </c>
      <c r="C40" s="186">
        <v>38430</v>
      </c>
      <c r="D40" s="188">
        <f t="shared" si="0"/>
        <v>2005</v>
      </c>
      <c r="E40" s="183" t="s">
        <v>539</v>
      </c>
      <c r="F40" s="178">
        <v>1000</v>
      </c>
      <c r="G40" s="178">
        <v>17840</v>
      </c>
      <c r="H40" s="178">
        <v>8470</v>
      </c>
      <c r="I40" s="178">
        <v>9370</v>
      </c>
    </row>
    <row r="41" spans="1:9">
      <c r="A41" s="179" t="s">
        <v>528</v>
      </c>
      <c r="B41" s="179" t="s">
        <v>518</v>
      </c>
      <c r="C41" s="186">
        <v>38430</v>
      </c>
      <c r="D41" s="188">
        <f t="shared" si="0"/>
        <v>2005</v>
      </c>
      <c r="E41" s="183" t="s">
        <v>532</v>
      </c>
      <c r="F41" s="178">
        <v>200</v>
      </c>
      <c r="G41" s="178">
        <v>4690</v>
      </c>
      <c r="H41" s="178">
        <v>2044</v>
      </c>
      <c r="I41" s="178">
        <v>2646</v>
      </c>
    </row>
    <row r="42" spans="1:9">
      <c r="A42" s="179" t="s">
        <v>528</v>
      </c>
      <c r="B42" s="179" t="s">
        <v>517</v>
      </c>
      <c r="C42" s="186">
        <v>38431</v>
      </c>
      <c r="D42" s="188">
        <f t="shared" si="0"/>
        <v>2005</v>
      </c>
      <c r="E42" s="183" t="s">
        <v>523</v>
      </c>
      <c r="F42" s="178">
        <v>100</v>
      </c>
      <c r="G42" s="178">
        <v>1861</v>
      </c>
      <c r="H42" s="178">
        <v>847</v>
      </c>
      <c r="I42" s="178">
        <v>1014</v>
      </c>
    </row>
    <row r="43" spans="1:9">
      <c r="A43" s="179" t="s">
        <v>423</v>
      </c>
      <c r="B43" s="179" t="s">
        <v>516</v>
      </c>
      <c r="C43" s="186">
        <v>38432</v>
      </c>
      <c r="D43" s="188">
        <f t="shared" si="0"/>
        <v>2005</v>
      </c>
      <c r="E43" s="183" t="s">
        <v>534</v>
      </c>
      <c r="F43" s="178">
        <v>200</v>
      </c>
      <c r="G43" s="178">
        <v>3942</v>
      </c>
      <c r="H43" s="178">
        <v>1968</v>
      </c>
      <c r="I43" s="178">
        <v>1974</v>
      </c>
    </row>
    <row r="44" spans="1:9">
      <c r="A44" s="179" t="s">
        <v>528</v>
      </c>
      <c r="B44" s="179" t="s">
        <v>517</v>
      </c>
      <c r="C44" s="186">
        <v>38433</v>
      </c>
      <c r="D44" s="188">
        <f t="shared" si="0"/>
        <v>2005</v>
      </c>
      <c r="E44" s="183" t="s">
        <v>523</v>
      </c>
      <c r="F44" s="178">
        <v>500</v>
      </c>
      <c r="G44" s="178">
        <v>9475</v>
      </c>
      <c r="H44" s="178">
        <v>4235</v>
      </c>
      <c r="I44" s="178">
        <v>5240</v>
      </c>
    </row>
    <row r="45" spans="1:9">
      <c r="A45" s="179" t="s">
        <v>429</v>
      </c>
      <c r="B45" s="179" t="s">
        <v>517</v>
      </c>
      <c r="C45" s="186">
        <v>38436</v>
      </c>
      <c r="D45" s="188">
        <f t="shared" si="0"/>
        <v>2005</v>
      </c>
      <c r="E45" s="183" t="s">
        <v>537</v>
      </c>
      <c r="F45" s="178">
        <v>700</v>
      </c>
      <c r="G45" s="178">
        <v>14686</v>
      </c>
      <c r="H45" s="178">
        <v>5929</v>
      </c>
      <c r="I45" s="178">
        <v>8757</v>
      </c>
    </row>
    <row r="46" spans="1:9">
      <c r="A46" s="179" t="s">
        <v>429</v>
      </c>
      <c r="B46" s="179" t="s">
        <v>518</v>
      </c>
      <c r="C46" s="186">
        <v>38436</v>
      </c>
      <c r="D46" s="188">
        <f t="shared" si="0"/>
        <v>2005</v>
      </c>
      <c r="E46" s="183" t="s">
        <v>531</v>
      </c>
      <c r="F46" s="178">
        <v>400</v>
      </c>
      <c r="G46" s="178">
        <v>9704</v>
      </c>
      <c r="H46" s="178">
        <v>4088</v>
      </c>
      <c r="I46" s="178">
        <v>5616</v>
      </c>
    </row>
    <row r="47" spans="1:9">
      <c r="A47" s="179" t="s">
        <v>528</v>
      </c>
      <c r="B47" s="179" t="s">
        <v>516</v>
      </c>
      <c r="C47" s="186">
        <v>38436</v>
      </c>
      <c r="D47" s="188">
        <f t="shared" si="0"/>
        <v>2005</v>
      </c>
      <c r="E47" s="183" t="s">
        <v>534</v>
      </c>
      <c r="F47" s="178">
        <v>1000</v>
      </c>
      <c r="G47" s="178">
        <v>20480</v>
      </c>
      <c r="H47" s="178">
        <v>9840</v>
      </c>
      <c r="I47" s="178">
        <v>10640</v>
      </c>
    </row>
    <row r="48" spans="1:9">
      <c r="A48" s="179" t="s">
        <v>528</v>
      </c>
      <c r="B48" s="179" t="s">
        <v>518</v>
      </c>
      <c r="C48" s="186">
        <v>38439</v>
      </c>
      <c r="D48" s="188">
        <f t="shared" si="0"/>
        <v>2005</v>
      </c>
      <c r="E48" s="183" t="s">
        <v>534</v>
      </c>
      <c r="F48" s="178">
        <v>700</v>
      </c>
      <c r="G48" s="178">
        <v>17367</v>
      </c>
      <c r="H48" s="178">
        <v>7154</v>
      </c>
      <c r="I48" s="178">
        <v>10213</v>
      </c>
    </row>
    <row r="49" spans="1:9">
      <c r="A49" s="179" t="s">
        <v>429</v>
      </c>
      <c r="B49" s="179" t="s">
        <v>518</v>
      </c>
      <c r="C49" s="186">
        <v>38441</v>
      </c>
      <c r="D49" s="188">
        <f t="shared" si="0"/>
        <v>2005</v>
      </c>
      <c r="E49" s="183" t="s">
        <v>537</v>
      </c>
      <c r="F49" s="178">
        <v>900</v>
      </c>
      <c r="G49" s="178">
        <v>18684</v>
      </c>
      <c r="H49" s="178">
        <v>9198</v>
      </c>
      <c r="I49" s="178">
        <v>9486</v>
      </c>
    </row>
    <row r="50" spans="1:9">
      <c r="A50" s="179" t="s">
        <v>429</v>
      </c>
      <c r="B50" s="179" t="s">
        <v>516</v>
      </c>
      <c r="C50" s="186">
        <v>38441</v>
      </c>
      <c r="D50" s="188">
        <f t="shared" si="0"/>
        <v>2005</v>
      </c>
      <c r="E50" s="183" t="s">
        <v>531</v>
      </c>
      <c r="F50" s="178">
        <v>800</v>
      </c>
      <c r="G50" s="178">
        <v>16232</v>
      </c>
      <c r="H50" s="178">
        <v>7872</v>
      </c>
      <c r="I50" s="178">
        <v>8360</v>
      </c>
    </row>
    <row r="51" spans="1:9">
      <c r="A51" s="179" t="s">
        <v>423</v>
      </c>
      <c r="B51" s="179" t="s">
        <v>516</v>
      </c>
      <c r="C51" s="186">
        <v>38442</v>
      </c>
      <c r="D51" s="188">
        <f t="shared" si="0"/>
        <v>2005</v>
      </c>
      <c r="E51" s="183" t="s">
        <v>524</v>
      </c>
      <c r="F51" s="178">
        <v>800</v>
      </c>
      <c r="G51" s="178">
        <v>17160</v>
      </c>
      <c r="H51" s="178">
        <v>7872</v>
      </c>
      <c r="I51" s="178">
        <v>9288</v>
      </c>
    </row>
    <row r="52" spans="1:9">
      <c r="A52" s="179" t="s">
        <v>423</v>
      </c>
      <c r="B52" s="179" t="s">
        <v>518</v>
      </c>
      <c r="C52" s="186">
        <v>38444</v>
      </c>
      <c r="D52" s="188">
        <f t="shared" si="0"/>
        <v>2005</v>
      </c>
      <c r="E52" s="183" t="s">
        <v>526</v>
      </c>
      <c r="F52" s="178">
        <v>1000</v>
      </c>
      <c r="G52" s="178">
        <v>24130</v>
      </c>
      <c r="H52" s="178">
        <v>10220</v>
      </c>
      <c r="I52" s="178">
        <v>13910</v>
      </c>
    </row>
    <row r="53" spans="1:9">
      <c r="A53" s="179" t="s">
        <v>429</v>
      </c>
      <c r="B53" s="179" t="s">
        <v>517</v>
      </c>
      <c r="C53" s="186">
        <v>38445</v>
      </c>
      <c r="D53" s="188">
        <f t="shared" si="0"/>
        <v>2005</v>
      </c>
      <c r="E53" s="183" t="s">
        <v>530</v>
      </c>
      <c r="F53" s="178">
        <v>900</v>
      </c>
      <c r="G53" s="178">
        <v>15759</v>
      </c>
      <c r="H53" s="178">
        <v>7623</v>
      </c>
      <c r="I53" s="178">
        <v>8136</v>
      </c>
    </row>
    <row r="54" spans="1:9">
      <c r="A54" s="179" t="s">
        <v>429</v>
      </c>
      <c r="B54" s="179" t="s">
        <v>517</v>
      </c>
      <c r="C54" s="186">
        <v>38446</v>
      </c>
      <c r="D54" s="188">
        <f t="shared" si="0"/>
        <v>2005</v>
      </c>
      <c r="E54" s="183" t="s">
        <v>532</v>
      </c>
      <c r="F54" s="178">
        <v>1000</v>
      </c>
      <c r="G54" s="178">
        <v>18660</v>
      </c>
      <c r="H54" s="178">
        <v>8470</v>
      </c>
      <c r="I54" s="178">
        <v>10190</v>
      </c>
    </row>
    <row r="55" spans="1:9">
      <c r="A55" s="179" t="s">
        <v>429</v>
      </c>
      <c r="B55" s="179" t="s">
        <v>518</v>
      </c>
      <c r="C55" s="186">
        <v>38448</v>
      </c>
      <c r="D55" s="188">
        <f t="shared" si="0"/>
        <v>2005</v>
      </c>
      <c r="E55" s="183" t="s">
        <v>533</v>
      </c>
      <c r="F55" s="178">
        <v>700</v>
      </c>
      <c r="G55" s="178">
        <v>15435</v>
      </c>
      <c r="H55" s="178">
        <v>7154</v>
      </c>
      <c r="I55" s="178">
        <v>8281</v>
      </c>
    </row>
    <row r="56" spans="1:9">
      <c r="A56" s="179" t="s">
        <v>528</v>
      </c>
      <c r="B56" s="179" t="s">
        <v>517</v>
      </c>
      <c r="C56" s="186">
        <v>38450</v>
      </c>
      <c r="D56" s="188">
        <f t="shared" si="0"/>
        <v>2005</v>
      </c>
      <c r="E56" s="183" t="s">
        <v>531</v>
      </c>
      <c r="F56" s="178">
        <v>900</v>
      </c>
      <c r="G56" s="178">
        <v>15651</v>
      </c>
      <c r="H56" s="178">
        <v>7623</v>
      </c>
      <c r="I56" s="178">
        <v>8028</v>
      </c>
    </row>
    <row r="57" spans="1:9">
      <c r="A57" s="179" t="s">
        <v>423</v>
      </c>
      <c r="B57" s="179" t="s">
        <v>517</v>
      </c>
      <c r="C57" s="186">
        <v>38451</v>
      </c>
      <c r="D57" s="188">
        <f t="shared" si="0"/>
        <v>2005</v>
      </c>
      <c r="E57" s="183" t="s">
        <v>529</v>
      </c>
      <c r="F57" s="178">
        <v>800</v>
      </c>
      <c r="G57" s="178">
        <v>14408</v>
      </c>
      <c r="H57" s="178">
        <v>6776</v>
      </c>
      <c r="I57" s="178">
        <v>7632</v>
      </c>
    </row>
    <row r="58" spans="1:9">
      <c r="A58" s="179" t="s">
        <v>429</v>
      </c>
      <c r="B58" s="179" t="s">
        <v>517</v>
      </c>
      <c r="C58" s="186">
        <v>38454</v>
      </c>
      <c r="D58" s="188">
        <f t="shared" si="0"/>
        <v>2005</v>
      </c>
      <c r="E58" s="183" t="s">
        <v>534</v>
      </c>
      <c r="F58" s="178">
        <v>300</v>
      </c>
      <c r="G58" s="178">
        <v>5967</v>
      </c>
      <c r="H58" s="178">
        <v>2541</v>
      </c>
      <c r="I58" s="178">
        <v>3426</v>
      </c>
    </row>
    <row r="59" spans="1:9">
      <c r="A59" s="179" t="s">
        <v>528</v>
      </c>
      <c r="B59" s="179" t="s">
        <v>516</v>
      </c>
      <c r="C59" s="186">
        <v>38457</v>
      </c>
      <c r="D59" s="188">
        <f t="shared" si="0"/>
        <v>2005</v>
      </c>
      <c r="E59" s="183" t="s">
        <v>531</v>
      </c>
      <c r="F59" s="178">
        <v>700</v>
      </c>
      <c r="G59" s="178">
        <v>16303</v>
      </c>
      <c r="H59" s="178">
        <v>6888</v>
      </c>
      <c r="I59" s="178">
        <v>9415</v>
      </c>
    </row>
    <row r="60" spans="1:9">
      <c r="A60" s="179" t="s">
        <v>429</v>
      </c>
      <c r="B60" s="179" t="s">
        <v>517</v>
      </c>
      <c r="C60" s="186">
        <v>38458</v>
      </c>
      <c r="D60" s="188">
        <f t="shared" si="0"/>
        <v>2005</v>
      </c>
      <c r="E60" s="183" t="s">
        <v>523</v>
      </c>
      <c r="F60" s="178">
        <v>500</v>
      </c>
      <c r="G60" s="178">
        <v>9380</v>
      </c>
      <c r="H60" s="178">
        <v>4235</v>
      </c>
      <c r="I60" s="178">
        <v>5145</v>
      </c>
    </row>
    <row r="61" spans="1:9">
      <c r="A61" s="179" t="s">
        <v>429</v>
      </c>
      <c r="B61" s="179" t="s">
        <v>517</v>
      </c>
      <c r="C61" s="186">
        <v>38458</v>
      </c>
      <c r="D61" s="188">
        <f t="shared" si="0"/>
        <v>2005</v>
      </c>
      <c r="E61" s="183" t="s">
        <v>532</v>
      </c>
      <c r="F61" s="178">
        <v>100</v>
      </c>
      <c r="G61" s="178">
        <v>2066</v>
      </c>
      <c r="H61" s="178">
        <v>847</v>
      </c>
      <c r="I61" s="178">
        <v>1219</v>
      </c>
    </row>
    <row r="62" spans="1:9">
      <c r="A62" s="179" t="s">
        <v>528</v>
      </c>
      <c r="B62" s="179" t="s">
        <v>517</v>
      </c>
      <c r="C62" s="186">
        <v>38459</v>
      </c>
      <c r="D62" s="188">
        <f t="shared" si="0"/>
        <v>2005</v>
      </c>
      <c r="E62" s="183" t="s">
        <v>529</v>
      </c>
      <c r="F62" s="178">
        <v>500</v>
      </c>
      <c r="G62" s="178">
        <v>10460</v>
      </c>
      <c r="H62" s="178">
        <v>4235</v>
      </c>
      <c r="I62" s="178">
        <v>6225</v>
      </c>
    </row>
    <row r="63" spans="1:9">
      <c r="A63" s="179" t="s">
        <v>423</v>
      </c>
      <c r="B63" s="179" t="s">
        <v>518</v>
      </c>
      <c r="C63" s="186">
        <v>38460</v>
      </c>
      <c r="D63" s="188">
        <f t="shared" si="0"/>
        <v>2005</v>
      </c>
      <c r="E63" s="183" t="s">
        <v>525</v>
      </c>
      <c r="F63" s="178">
        <v>800</v>
      </c>
      <c r="G63" s="178">
        <v>18304</v>
      </c>
      <c r="H63" s="178">
        <v>8176</v>
      </c>
      <c r="I63" s="178">
        <v>10128</v>
      </c>
    </row>
    <row r="64" spans="1:9">
      <c r="A64" s="179" t="s">
        <v>423</v>
      </c>
      <c r="B64" s="179" t="s">
        <v>517</v>
      </c>
      <c r="C64" s="186">
        <v>38460</v>
      </c>
      <c r="D64" s="188">
        <f t="shared" si="0"/>
        <v>2005</v>
      </c>
      <c r="E64" s="183" t="s">
        <v>524</v>
      </c>
      <c r="F64" s="178">
        <v>900</v>
      </c>
      <c r="G64" s="178">
        <v>18981</v>
      </c>
      <c r="H64" s="178">
        <v>7623</v>
      </c>
      <c r="I64" s="178">
        <v>11358</v>
      </c>
    </row>
    <row r="65" spans="1:9">
      <c r="A65" s="179" t="s">
        <v>423</v>
      </c>
      <c r="B65" s="179" t="s">
        <v>516</v>
      </c>
      <c r="C65" s="186">
        <v>38461</v>
      </c>
      <c r="D65" s="188">
        <f t="shared" si="0"/>
        <v>2005</v>
      </c>
      <c r="E65" s="183" t="s">
        <v>529</v>
      </c>
      <c r="F65" s="178">
        <v>100</v>
      </c>
      <c r="G65" s="178">
        <v>2409</v>
      </c>
      <c r="H65" s="178">
        <v>984</v>
      </c>
      <c r="I65" s="178">
        <v>1425</v>
      </c>
    </row>
    <row r="66" spans="1:9">
      <c r="A66" s="179" t="s">
        <v>423</v>
      </c>
      <c r="B66" s="179" t="s">
        <v>518</v>
      </c>
      <c r="C66" s="186">
        <v>38462</v>
      </c>
      <c r="D66" s="188">
        <f t="shared" ref="D66:D129" si="4">YEAR(C66)</f>
        <v>2005</v>
      </c>
      <c r="E66" s="183" t="s">
        <v>540</v>
      </c>
      <c r="F66" s="178">
        <v>600</v>
      </c>
      <c r="G66" s="178">
        <v>12612</v>
      </c>
      <c r="H66" s="178">
        <v>6132</v>
      </c>
      <c r="I66" s="178">
        <v>6480</v>
      </c>
    </row>
    <row r="67" spans="1:9">
      <c r="A67" s="179" t="s">
        <v>429</v>
      </c>
      <c r="B67" s="179" t="s">
        <v>517</v>
      </c>
      <c r="C67" s="186">
        <v>38463</v>
      </c>
      <c r="D67" s="188">
        <f t="shared" si="4"/>
        <v>2005</v>
      </c>
      <c r="E67" s="183" t="s">
        <v>525</v>
      </c>
      <c r="F67" s="178">
        <v>100</v>
      </c>
      <c r="G67" s="178">
        <v>1842</v>
      </c>
      <c r="H67" s="178">
        <v>847</v>
      </c>
      <c r="I67" s="178">
        <v>995</v>
      </c>
    </row>
    <row r="68" spans="1:9">
      <c r="A68" s="179" t="s">
        <v>429</v>
      </c>
      <c r="B68" s="179" t="s">
        <v>516</v>
      </c>
      <c r="C68" s="186">
        <v>38463</v>
      </c>
      <c r="D68" s="188">
        <f t="shared" si="4"/>
        <v>2005</v>
      </c>
      <c r="E68" s="183" t="s">
        <v>533</v>
      </c>
      <c r="F68" s="178">
        <v>600</v>
      </c>
      <c r="G68" s="178">
        <v>12672</v>
      </c>
      <c r="H68" s="178">
        <v>5904</v>
      </c>
      <c r="I68" s="178">
        <v>6768</v>
      </c>
    </row>
    <row r="69" spans="1:9">
      <c r="A69" s="179" t="s">
        <v>528</v>
      </c>
      <c r="B69" s="179" t="s">
        <v>517</v>
      </c>
      <c r="C69" s="186">
        <v>38463</v>
      </c>
      <c r="D69" s="188">
        <f t="shared" si="4"/>
        <v>2005</v>
      </c>
      <c r="E69" s="183" t="s">
        <v>534</v>
      </c>
      <c r="F69" s="178">
        <v>400</v>
      </c>
      <c r="G69" s="178">
        <v>6860</v>
      </c>
      <c r="H69" s="178">
        <v>3388</v>
      </c>
      <c r="I69" s="178">
        <v>3472</v>
      </c>
    </row>
    <row r="70" spans="1:9">
      <c r="A70" s="179" t="s">
        <v>423</v>
      </c>
      <c r="B70" s="179" t="s">
        <v>517</v>
      </c>
      <c r="C70" s="186">
        <v>38464</v>
      </c>
      <c r="D70" s="188">
        <f t="shared" si="4"/>
        <v>2005</v>
      </c>
      <c r="E70" s="183" t="s">
        <v>540</v>
      </c>
      <c r="F70" s="178">
        <v>500</v>
      </c>
      <c r="G70" s="178">
        <v>8940</v>
      </c>
      <c r="H70" s="178">
        <v>4235</v>
      </c>
      <c r="I70" s="178">
        <v>4705</v>
      </c>
    </row>
    <row r="71" spans="1:9">
      <c r="A71" s="179" t="s">
        <v>423</v>
      </c>
      <c r="B71" s="179" t="s">
        <v>517</v>
      </c>
      <c r="C71" s="186">
        <v>38467</v>
      </c>
      <c r="D71" s="188">
        <f t="shared" si="4"/>
        <v>2005</v>
      </c>
      <c r="E71" s="183" t="s">
        <v>531</v>
      </c>
      <c r="F71" s="178">
        <v>500</v>
      </c>
      <c r="G71" s="178">
        <v>10155</v>
      </c>
      <c r="H71" s="178">
        <v>4235</v>
      </c>
      <c r="I71" s="178">
        <v>5920</v>
      </c>
    </row>
    <row r="72" spans="1:9">
      <c r="A72" s="179" t="s">
        <v>429</v>
      </c>
      <c r="B72" s="179" t="s">
        <v>517</v>
      </c>
      <c r="C72" s="186">
        <v>38468</v>
      </c>
      <c r="D72" s="188">
        <f t="shared" si="4"/>
        <v>2005</v>
      </c>
      <c r="E72" s="183" t="s">
        <v>531</v>
      </c>
      <c r="F72" s="178">
        <v>600</v>
      </c>
      <c r="G72" s="178">
        <v>11430</v>
      </c>
      <c r="H72" s="178">
        <v>5082</v>
      </c>
      <c r="I72" s="178">
        <v>6348</v>
      </c>
    </row>
    <row r="73" spans="1:9">
      <c r="A73" s="179" t="s">
        <v>429</v>
      </c>
      <c r="B73" s="179" t="s">
        <v>516</v>
      </c>
      <c r="C73" s="186">
        <v>38468</v>
      </c>
      <c r="D73" s="188">
        <f t="shared" si="4"/>
        <v>2005</v>
      </c>
      <c r="E73" s="183" t="s">
        <v>532</v>
      </c>
      <c r="F73" s="178">
        <v>300</v>
      </c>
      <c r="G73" s="178">
        <v>6714</v>
      </c>
      <c r="H73" s="178">
        <v>2952</v>
      </c>
      <c r="I73" s="178">
        <v>3762</v>
      </c>
    </row>
    <row r="74" spans="1:9">
      <c r="A74" s="179" t="s">
        <v>528</v>
      </c>
      <c r="B74" s="179" t="s">
        <v>518</v>
      </c>
      <c r="C74" s="186">
        <v>38474</v>
      </c>
      <c r="D74" s="188">
        <f t="shared" si="4"/>
        <v>2005</v>
      </c>
      <c r="E74" s="183" t="s">
        <v>531</v>
      </c>
      <c r="F74" s="178">
        <v>700</v>
      </c>
      <c r="G74" s="178">
        <v>17199</v>
      </c>
      <c r="H74" s="178">
        <v>7154</v>
      </c>
      <c r="I74" s="178">
        <v>10045</v>
      </c>
    </row>
    <row r="75" spans="1:9">
      <c r="A75" s="179" t="s">
        <v>423</v>
      </c>
      <c r="B75" s="179" t="s">
        <v>517</v>
      </c>
      <c r="C75" s="186">
        <v>38475</v>
      </c>
      <c r="D75" s="188">
        <f t="shared" si="4"/>
        <v>2005</v>
      </c>
      <c r="E75" s="183" t="s">
        <v>531</v>
      </c>
      <c r="F75" s="178">
        <v>200</v>
      </c>
      <c r="G75" s="178">
        <v>3390</v>
      </c>
      <c r="H75" s="178">
        <v>1694</v>
      </c>
      <c r="I75" s="178">
        <v>1696</v>
      </c>
    </row>
    <row r="76" spans="1:9">
      <c r="A76" s="179" t="s">
        <v>423</v>
      </c>
      <c r="B76" s="179" t="s">
        <v>517</v>
      </c>
      <c r="C76" s="186">
        <v>38479</v>
      </c>
      <c r="D76" s="188">
        <f t="shared" si="4"/>
        <v>2005</v>
      </c>
      <c r="E76" s="183" t="s">
        <v>533</v>
      </c>
      <c r="F76" s="178">
        <v>800</v>
      </c>
      <c r="G76" s="178">
        <v>14592</v>
      </c>
      <c r="H76" s="178">
        <v>6776</v>
      </c>
      <c r="I76" s="178">
        <v>7816</v>
      </c>
    </row>
    <row r="77" spans="1:9">
      <c r="A77" s="179" t="s">
        <v>423</v>
      </c>
      <c r="B77" s="179" t="s">
        <v>517</v>
      </c>
      <c r="C77" s="186">
        <v>38479</v>
      </c>
      <c r="D77" s="188">
        <f t="shared" si="4"/>
        <v>2005</v>
      </c>
      <c r="E77" s="183" t="s">
        <v>533</v>
      </c>
      <c r="F77" s="178">
        <v>700</v>
      </c>
      <c r="G77" s="178">
        <v>12803</v>
      </c>
      <c r="H77" s="178">
        <v>5929</v>
      </c>
      <c r="I77" s="178">
        <v>6874</v>
      </c>
    </row>
    <row r="78" spans="1:9">
      <c r="A78" s="179" t="s">
        <v>423</v>
      </c>
      <c r="B78" s="179" t="s">
        <v>517</v>
      </c>
      <c r="C78" s="186">
        <v>38481</v>
      </c>
      <c r="D78" s="188">
        <f t="shared" si="4"/>
        <v>2005</v>
      </c>
      <c r="E78" s="183" t="s">
        <v>531</v>
      </c>
      <c r="F78" s="178">
        <v>900</v>
      </c>
      <c r="G78" s="178">
        <v>17964</v>
      </c>
      <c r="H78" s="178">
        <v>7623</v>
      </c>
      <c r="I78" s="178">
        <v>10341</v>
      </c>
    </row>
    <row r="79" spans="1:9">
      <c r="A79" s="179" t="s">
        <v>423</v>
      </c>
      <c r="B79" s="179" t="s">
        <v>516</v>
      </c>
      <c r="C79" s="186">
        <v>38486</v>
      </c>
      <c r="D79" s="188">
        <f t="shared" si="4"/>
        <v>2005</v>
      </c>
      <c r="E79" s="183" t="s">
        <v>532</v>
      </c>
      <c r="F79" s="178">
        <v>700</v>
      </c>
      <c r="G79" s="178">
        <v>14560</v>
      </c>
      <c r="H79" s="178">
        <v>6888</v>
      </c>
      <c r="I79" s="178">
        <v>7672</v>
      </c>
    </row>
    <row r="80" spans="1:9">
      <c r="A80" s="179" t="s">
        <v>429</v>
      </c>
      <c r="B80" s="179" t="s">
        <v>518</v>
      </c>
      <c r="C80" s="186">
        <v>38490</v>
      </c>
      <c r="D80" s="188">
        <f t="shared" si="4"/>
        <v>2005</v>
      </c>
      <c r="E80" s="183" t="s">
        <v>525</v>
      </c>
      <c r="F80" s="178">
        <v>100</v>
      </c>
      <c r="G80" s="178">
        <v>2401</v>
      </c>
      <c r="H80" s="178">
        <v>1022</v>
      </c>
      <c r="I80" s="178">
        <v>1379</v>
      </c>
    </row>
    <row r="81" spans="1:9">
      <c r="A81" s="179" t="s">
        <v>429</v>
      </c>
      <c r="B81" s="179" t="s">
        <v>516</v>
      </c>
      <c r="C81" s="186">
        <v>38490</v>
      </c>
      <c r="D81" s="188">
        <f t="shared" si="4"/>
        <v>2005</v>
      </c>
      <c r="E81" s="183" t="s">
        <v>536</v>
      </c>
      <c r="F81" s="178">
        <v>500</v>
      </c>
      <c r="G81" s="178">
        <v>10760</v>
      </c>
      <c r="H81" s="178">
        <v>4920</v>
      </c>
      <c r="I81" s="178">
        <v>5840</v>
      </c>
    </row>
    <row r="82" spans="1:9">
      <c r="A82" s="179" t="s">
        <v>528</v>
      </c>
      <c r="B82" s="179" t="s">
        <v>517</v>
      </c>
      <c r="C82" s="186">
        <v>38494</v>
      </c>
      <c r="D82" s="188">
        <f t="shared" si="4"/>
        <v>2005</v>
      </c>
      <c r="E82" s="183" t="s">
        <v>531</v>
      </c>
      <c r="F82" s="178">
        <v>300</v>
      </c>
      <c r="G82" s="178">
        <v>5826</v>
      </c>
      <c r="H82" s="178">
        <v>2541</v>
      </c>
      <c r="I82" s="178">
        <v>3285</v>
      </c>
    </row>
    <row r="83" spans="1:9">
      <c r="A83" s="179" t="s">
        <v>528</v>
      </c>
      <c r="B83" s="179" t="s">
        <v>516</v>
      </c>
      <c r="C83" s="186">
        <v>38496</v>
      </c>
      <c r="D83" s="188">
        <f t="shared" si="4"/>
        <v>2005</v>
      </c>
      <c r="E83" s="183" t="s">
        <v>523</v>
      </c>
      <c r="F83" s="178">
        <v>400</v>
      </c>
      <c r="G83" s="178">
        <v>9672</v>
      </c>
      <c r="H83" s="178">
        <v>3936</v>
      </c>
      <c r="I83" s="178">
        <v>5736</v>
      </c>
    </row>
    <row r="84" spans="1:9">
      <c r="A84" s="179" t="s">
        <v>528</v>
      </c>
      <c r="B84" s="179" t="s">
        <v>516</v>
      </c>
      <c r="C84" s="186">
        <v>38499</v>
      </c>
      <c r="D84" s="188">
        <f t="shared" si="4"/>
        <v>2005</v>
      </c>
      <c r="E84" s="183" t="s">
        <v>541</v>
      </c>
      <c r="F84" s="178">
        <v>200</v>
      </c>
      <c r="G84" s="178">
        <v>4754</v>
      </c>
      <c r="H84" s="178">
        <v>1968</v>
      </c>
      <c r="I84" s="178">
        <v>2786</v>
      </c>
    </row>
    <row r="85" spans="1:9">
      <c r="A85" s="179" t="s">
        <v>528</v>
      </c>
      <c r="B85" s="179" t="s">
        <v>517</v>
      </c>
      <c r="C85" s="186">
        <v>38500</v>
      </c>
      <c r="D85" s="188">
        <f t="shared" si="4"/>
        <v>2005</v>
      </c>
      <c r="E85" s="183" t="s">
        <v>525</v>
      </c>
      <c r="F85" s="178">
        <v>100</v>
      </c>
      <c r="G85" s="178">
        <v>1740</v>
      </c>
      <c r="H85" s="178">
        <v>847</v>
      </c>
      <c r="I85" s="178">
        <v>893</v>
      </c>
    </row>
    <row r="86" spans="1:9">
      <c r="A86" s="179" t="s">
        <v>528</v>
      </c>
      <c r="B86" s="179" t="s">
        <v>517</v>
      </c>
      <c r="C86" s="186">
        <v>38505</v>
      </c>
      <c r="D86" s="188">
        <f t="shared" si="4"/>
        <v>2005</v>
      </c>
      <c r="E86" s="183" t="s">
        <v>529</v>
      </c>
      <c r="F86" s="178">
        <v>200</v>
      </c>
      <c r="G86" s="178">
        <v>4010</v>
      </c>
      <c r="H86" s="178">
        <v>1694</v>
      </c>
      <c r="I86" s="178">
        <v>2316</v>
      </c>
    </row>
    <row r="87" spans="1:9">
      <c r="A87" s="179" t="s">
        <v>423</v>
      </c>
      <c r="B87" s="179" t="s">
        <v>518</v>
      </c>
      <c r="C87" s="186">
        <v>38506</v>
      </c>
      <c r="D87" s="188">
        <f t="shared" si="4"/>
        <v>2005</v>
      </c>
      <c r="E87" s="183" t="s">
        <v>532</v>
      </c>
      <c r="F87" s="178">
        <v>800</v>
      </c>
      <c r="G87" s="178">
        <v>18560</v>
      </c>
      <c r="H87" s="178">
        <v>8176</v>
      </c>
      <c r="I87" s="178">
        <v>10384</v>
      </c>
    </row>
    <row r="88" spans="1:9">
      <c r="A88" s="179" t="s">
        <v>429</v>
      </c>
      <c r="B88" s="179" t="s">
        <v>516</v>
      </c>
      <c r="C88" s="186">
        <v>38512</v>
      </c>
      <c r="D88" s="188">
        <f t="shared" si="4"/>
        <v>2005</v>
      </c>
      <c r="E88" s="183" t="s">
        <v>529</v>
      </c>
      <c r="F88" s="178">
        <v>900</v>
      </c>
      <c r="G88" s="178">
        <v>19674</v>
      </c>
      <c r="H88" s="178">
        <v>8856</v>
      </c>
      <c r="I88" s="178">
        <v>10818</v>
      </c>
    </row>
    <row r="89" spans="1:9">
      <c r="A89" s="179" t="s">
        <v>423</v>
      </c>
      <c r="B89" s="179" t="s">
        <v>518</v>
      </c>
      <c r="C89" s="186">
        <v>38512</v>
      </c>
      <c r="D89" s="188">
        <f t="shared" si="4"/>
        <v>2005</v>
      </c>
      <c r="E89" s="183" t="s">
        <v>542</v>
      </c>
      <c r="F89" s="178">
        <v>600</v>
      </c>
      <c r="G89" s="178">
        <v>13962</v>
      </c>
      <c r="H89" s="178">
        <v>6132</v>
      </c>
      <c r="I89" s="178">
        <v>7830</v>
      </c>
    </row>
    <row r="90" spans="1:9">
      <c r="A90" s="179" t="s">
        <v>429</v>
      </c>
      <c r="B90" s="179" t="s">
        <v>517</v>
      </c>
      <c r="C90" s="186">
        <v>38516</v>
      </c>
      <c r="D90" s="188">
        <f t="shared" si="4"/>
        <v>2005</v>
      </c>
      <c r="E90" s="183" t="s">
        <v>529</v>
      </c>
      <c r="F90" s="178">
        <v>100</v>
      </c>
      <c r="G90" s="178">
        <v>1913</v>
      </c>
      <c r="H90" s="178">
        <v>847</v>
      </c>
      <c r="I90" s="178">
        <v>1066</v>
      </c>
    </row>
    <row r="91" spans="1:9">
      <c r="A91" s="179" t="s">
        <v>423</v>
      </c>
      <c r="B91" s="179" t="s">
        <v>516</v>
      </c>
      <c r="C91" s="186">
        <v>38517</v>
      </c>
      <c r="D91" s="188">
        <f t="shared" si="4"/>
        <v>2005</v>
      </c>
      <c r="E91" s="183" t="s">
        <v>525</v>
      </c>
      <c r="F91" s="178">
        <v>300</v>
      </c>
      <c r="G91" s="178">
        <v>6522</v>
      </c>
      <c r="H91" s="178">
        <v>2952</v>
      </c>
      <c r="I91" s="178">
        <v>3570</v>
      </c>
    </row>
    <row r="92" spans="1:9">
      <c r="A92" s="179" t="s">
        <v>423</v>
      </c>
      <c r="B92" s="179" t="s">
        <v>518</v>
      </c>
      <c r="C92" s="186">
        <v>38521</v>
      </c>
      <c r="D92" s="188">
        <f t="shared" si="4"/>
        <v>2005</v>
      </c>
      <c r="E92" s="183" t="s">
        <v>543</v>
      </c>
      <c r="F92" s="178">
        <v>1000</v>
      </c>
      <c r="G92" s="178">
        <v>22840</v>
      </c>
      <c r="H92" s="178">
        <v>10220</v>
      </c>
      <c r="I92" s="178">
        <v>12620</v>
      </c>
    </row>
    <row r="93" spans="1:9">
      <c r="A93" s="179" t="s">
        <v>429</v>
      </c>
      <c r="B93" s="179" t="s">
        <v>516</v>
      </c>
      <c r="C93" s="186">
        <v>38526</v>
      </c>
      <c r="D93" s="188">
        <f t="shared" si="4"/>
        <v>2005</v>
      </c>
      <c r="E93" s="183" t="s">
        <v>531</v>
      </c>
      <c r="F93" s="178">
        <v>300</v>
      </c>
      <c r="G93" s="178">
        <v>5961</v>
      </c>
      <c r="H93" s="178">
        <v>2952</v>
      </c>
      <c r="I93" s="178">
        <v>3009</v>
      </c>
    </row>
    <row r="94" spans="1:9">
      <c r="A94" s="179" t="s">
        <v>423</v>
      </c>
      <c r="B94" s="179" t="s">
        <v>518</v>
      </c>
      <c r="C94" s="186">
        <v>38529</v>
      </c>
      <c r="D94" s="188">
        <f t="shared" si="4"/>
        <v>2005</v>
      </c>
      <c r="E94" s="183" t="s">
        <v>533</v>
      </c>
      <c r="F94" s="178">
        <v>300</v>
      </c>
      <c r="G94" s="178">
        <v>7593</v>
      </c>
      <c r="H94" s="178">
        <v>3066</v>
      </c>
      <c r="I94" s="178">
        <v>4527</v>
      </c>
    </row>
    <row r="95" spans="1:9">
      <c r="A95" s="179" t="s">
        <v>528</v>
      </c>
      <c r="B95" s="179" t="s">
        <v>518</v>
      </c>
      <c r="C95" s="186">
        <v>38530</v>
      </c>
      <c r="D95" s="188">
        <f t="shared" si="4"/>
        <v>2005</v>
      </c>
      <c r="E95" s="183" t="s">
        <v>534</v>
      </c>
      <c r="F95" s="178">
        <v>200</v>
      </c>
      <c r="G95" s="178">
        <v>4902</v>
      </c>
      <c r="H95" s="178">
        <v>2044</v>
      </c>
      <c r="I95" s="178">
        <v>2858</v>
      </c>
    </row>
    <row r="96" spans="1:9">
      <c r="A96" s="179" t="s">
        <v>429</v>
      </c>
      <c r="B96" s="179" t="s">
        <v>517</v>
      </c>
      <c r="C96" s="186">
        <v>38539</v>
      </c>
      <c r="D96" s="188">
        <f t="shared" si="4"/>
        <v>2005</v>
      </c>
      <c r="E96" s="183" t="s">
        <v>529</v>
      </c>
      <c r="F96" s="178">
        <v>700</v>
      </c>
      <c r="G96" s="178">
        <v>13804</v>
      </c>
      <c r="H96" s="178">
        <v>5929</v>
      </c>
      <c r="I96" s="178">
        <v>7875</v>
      </c>
    </row>
    <row r="97" spans="1:9">
      <c r="A97" s="179" t="s">
        <v>423</v>
      </c>
      <c r="B97" s="179" t="s">
        <v>517</v>
      </c>
      <c r="C97" s="186">
        <v>38541</v>
      </c>
      <c r="D97" s="188">
        <f t="shared" si="4"/>
        <v>2005</v>
      </c>
      <c r="E97" s="183" t="s">
        <v>534</v>
      </c>
      <c r="F97" s="178">
        <v>1000</v>
      </c>
      <c r="G97" s="178">
        <v>19890</v>
      </c>
      <c r="H97" s="178">
        <v>8470</v>
      </c>
      <c r="I97" s="178">
        <v>11420</v>
      </c>
    </row>
    <row r="98" spans="1:9">
      <c r="A98" s="179" t="s">
        <v>423</v>
      </c>
      <c r="B98" s="179" t="s">
        <v>518</v>
      </c>
      <c r="C98" s="186">
        <v>38542</v>
      </c>
      <c r="D98" s="188">
        <f t="shared" si="4"/>
        <v>2005</v>
      </c>
      <c r="E98" s="183" t="s">
        <v>533</v>
      </c>
      <c r="F98" s="178">
        <v>1000</v>
      </c>
      <c r="G98" s="178">
        <v>25080</v>
      </c>
      <c r="H98" s="178">
        <v>10220</v>
      </c>
      <c r="I98" s="178">
        <v>14860</v>
      </c>
    </row>
    <row r="99" spans="1:9">
      <c r="A99" s="179" t="s">
        <v>429</v>
      </c>
      <c r="B99" s="179" t="s">
        <v>517</v>
      </c>
      <c r="C99" s="186">
        <v>38546</v>
      </c>
      <c r="D99" s="188">
        <f t="shared" si="4"/>
        <v>2005</v>
      </c>
      <c r="E99" s="183" t="s">
        <v>533</v>
      </c>
      <c r="F99" s="178">
        <v>900</v>
      </c>
      <c r="G99" s="178">
        <v>17172</v>
      </c>
      <c r="H99" s="178">
        <v>7623</v>
      </c>
      <c r="I99" s="178">
        <v>9549</v>
      </c>
    </row>
    <row r="100" spans="1:9">
      <c r="A100" s="179" t="s">
        <v>429</v>
      </c>
      <c r="B100" s="179" t="s">
        <v>516</v>
      </c>
      <c r="C100" s="186">
        <v>38548</v>
      </c>
      <c r="D100" s="188">
        <f t="shared" si="4"/>
        <v>2005</v>
      </c>
      <c r="E100" s="183" t="s">
        <v>523</v>
      </c>
      <c r="F100" s="178">
        <v>600</v>
      </c>
      <c r="G100" s="178">
        <v>14466</v>
      </c>
      <c r="H100" s="178">
        <v>5904</v>
      </c>
      <c r="I100" s="178">
        <v>8562</v>
      </c>
    </row>
    <row r="101" spans="1:9">
      <c r="A101" s="179" t="s">
        <v>528</v>
      </c>
      <c r="B101" s="179" t="s">
        <v>518</v>
      </c>
      <c r="C101" s="186">
        <v>38554</v>
      </c>
      <c r="D101" s="188">
        <f t="shared" si="4"/>
        <v>2005</v>
      </c>
      <c r="E101" s="183" t="s">
        <v>532</v>
      </c>
      <c r="F101" s="178">
        <v>1000</v>
      </c>
      <c r="G101" s="178">
        <v>25140</v>
      </c>
      <c r="H101" s="178">
        <v>10220</v>
      </c>
      <c r="I101" s="178">
        <v>14920</v>
      </c>
    </row>
    <row r="102" spans="1:9">
      <c r="A102" s="179" t="s">
        <v>423</v>
      </c>
      <c r="B102" s="179" t="s">
        <v>518</v>
      </c>
      <c r="C102" s="186">
        <v>38562</v>
      </c>
      <c r="D102" s="188">
        <f t="shared" si="4"/>
        <v>2005</v>
      </c>
      <c r="E102" s="183" t="s">
        <v>523</v>
      </c>
      <c r="F102" s="178">
        <v>400</v>
      </c>
      <c r="G102" s="178">
        <v>8744</v>
      </c>
      <c r="H102" s="178">
        <v>4088</v>
      </c>
      <c r="I102" s="178">
        <v>4656</v>
      </c>
    </row>
    <row r="103" spans="1:9">
      <c r="A103" s="179" t="s">
        <v>429</v>
      </c>
      <c r="B103" s="179" t="s">
        <v>518</v>
      </c>
      <c r="C103" s="186">
        <v>38564</v>
      </c>
      <c r="D103" s="188">
        <f t="shared" si="4"/>
        <v>2005</v>
      </c>
      <c r="E103" s="183" t="s">
        <v>523</v>
      </c>
      <c r="F103" s="178">
        <v>900</v>
      </c>
      <c r="G103" s="178">
        <v>21465</v>
      </c>
      <c r="H103" s="178">
        <v>9198</v>
      </c>
      <c r="I103" s="178">
        <v>12267</v>
      </c>
    </row>
    <row r="104" spans="1:9">
      <c r="A104" s="179" t="s">
        <v>528</v>
      </c>
      <c r="B104" s="179" t="s">
        <v>517</v>
      </c>
      <c r="C104" s="186">
        <v>38564</v>
      </c>
      <c r="D104" s="188">
        <f t="shared" si="4"/>
        <v>2005</v>
      </c>
      <c r="E104" s="183" t="s">
        <v>536</v>
      </c>
      <c r="F104" s="178">
        <v>800</v>
      </c>
      <c r="G104" s="178">
        <v>15312</v>
      </c>
      <c r="H104" s="178">
        <v>6776</v>
      </c>
      <c r="I104" s="178">
        <v>8536</v>
      </c>
    </row>
    <row r="105" spans="1:9">
      <c r="A105" s="179" t="s">
        <v>429</v>
      </c>
      <c r="B105" s="179" t="s">
        <v>517</v>
      </c>
      <c r="C105" s="186">
        <v>38567</v>
      </c>
      <c r="D105" s="188">
        <f t="shared" si="4"/>
        <v>2005</v>
      </c>
      <c r="E105" s="183" t="s">
        <v>533</v>
      </c>
      <c r="F105" s="178">
        <v>800</v>
      </c>
      <c r="G105" s="178">
        <v>15640</v>
      </c>
      <c r="H105" s="178">
        <v>6776</v>
      </c>
      <c r="I105" s="178">
        <v>8864</v>
      </c>
    </row>
    <row r="106" spans="1:9">
      <c r="A106" s="179" t="s">
        <v>528</v>
      </c>
      <c r="B106" s="179" t="s">
        <v>517</v>
      </c>
      <c r="C106" s="186">
        <v>38567</v>
      </c>
      <c r="D106" s="188">
        <f t="shared" si="4"/>
        <v>2005</v>
      </c>
      <c r="E106" s="183" t="s">
        <v>532</v>
      </c>
      <c r="F106" s="178">
        <v>500</v>
      </c>
      <c r="G106" s="178">
        <v>8970</v>
      </c>
      <c r="H106" s="178">
        <v>4235</v>
      </c>
      <c r="I106" s="178">
        <v>4735</v>
      </c>
    </row>
    <row r="107" spans="1:9">
      <c r="A107" s="179" t="s">
        <v>528</v>
      </c>
      <c r="B107" s="179" t="s">
        <v>518</v>
      </c>
      <c r="C107" s="186">
        <v>38568</v>
      </c>
      <c r="D107" s="188">
        <f t="shared" si="4"/>
        <v>2005</v>
      </c>
      <c r="E107" s="183" t="s">
        <v>523</v>
      </c>
      <c r="F107" s="178">
        <v>900</v>
      </c>
      <c r="G107" s="178">
        <v>18918</v>
      </c>
      <c r="H107" s="178">
        <v>9198</v>
      </c>
      <c r="I107" s="178">
        <v>9720</v>
      </c>
    </row>
    <row r="108" spans="1:9">
      <c r="A108" s="179" t="s">
        <v>528</v>
      </c>
      <c r="B108" s="179" t="s">
        <v>516</v>
      </c>
      <c r="C108" s="186">
        <v>38573</v>
      </c>
      <c r="D108" s="188">
        <f t="shared" si="4"/>
        <v>2005</v>
      </c>
      <c r="E108" s="183" t="s">
        <v>530</v>
      </c>
      <c r="F108" s="178">
        <v>200</v>
      </c>
      <c r="G108" s="178">
        <v>4484</v>
      </c>
      <c r="H108" s="178">
        <v>1968</v>
      </c>
      <c r="I108" s="178">
        <v>2516</v>
      </c>
    </row>
    <row r="109" spans="1:9">
      <c r="A109" s="179" t="s">
        <v>423</v>
      </c>
      <c r="B109" s="179" t="s">
        <v>517</v>
      </c>
      <c r="C109" s="186">
        <v>38574</v>
      </c>
      <c r="D109" s="188">
        <f t="shared" si="4"/>
        <v>2005</v>
      </c>
      <c r="E109" s="183" t="s">
        <v>533</v>
      </c>
      <c r="F109" s="178">
        <v>100</v>
      </c>
      <c r="G109" s="178">
        <v>1704</v>
      </c>
      <c r="H109" s="178">
        <v>847</v>
      </c>
      <c r="I109" s="178">
        <v>857</v>
      </c>
    </row>
    <row r="110" spans="1:9">
      <c r="A110" s="179" t="s">
        <v>423</v>
      </c>
      <c r="B110" s="179" t="s">
        <v>518</v>
      </c>
      <c r="C110" s="186">
        <v>38574</v>
      </c>
      <c r="D110" s="188">
        <f t="shared" si="4"/>
        <v>2005</v>
      </c>
      <c r="E110" s="183" t="s">
        <v>544</v>
      </c>
      <c r="F110" s="178">
        <v>600</v>
      </c>
      <c r="G110" s="178">
        <v>13806</v>
      </c>
      <c r="H110" s="178">
        <v>6132</v>
      </c>
      <c r="I110" s="178">
        <v>7674</v>
      </c>
    </row>
    <row r="111" spans="1:9">
      <c r="A111" s="179" t="s">
        <v>528</v>
      </c>
      <c r="B111" s="179" t="s">
        <v>516</v>
      </c>
      <c r="C111" s="186">
        <v>38575</v>
      </c>
      <c r="D111" s="188">
        <f t="shared" si="4"/>
        <v>2005</v>
      </c>
      <c r="E111" s="183" t="s">
        <v>524</v>
      </c>
      <c r="F111" s="178">
        <v>700</v>
      </c>
      <c r="G111" s="178">
        <v>14203</v>
      </c>
      <c r="H111" s="178">
        <v>6888</v>
      </c>
      <c r="I111" s="178">
        <v>7315</v>
      </c>
    </row>
    <row r="112" spans="1:9">
      <c r="A112" s="179" t="s">
        <v>429</v>
      </c>
      <c r="B112" s="179" t="s">
        <v>516</v>
      </c>
      <c r="C112" s="186">
        <v>38576</v>
      </c>
      <c r="D112" s="188">
        <f t="shared" si="4"/>
        <v>2005</v>
      </c>
      <c r="E112" s="183" t="s">
        <v>524</v>
      </c>
      <c r="F112" s="178">
        <v>300</v>
      </c>
      <c r="G112" s="178">
        <v>6228</v>
      </c>
      <c r="H112" s="178">
        <v>2952</v>
      </c>
      <c r="I112" s="178">
        <v>3276</v>
      </c>
    </row>
    <row r="113" spans="1:9">
      <c r="A113" s="179" t="s">
        <v>528</v>
      </c>
      <c r="B113" s="179" t="s">
        <v>517</v>
      </c>
      <c r="C113" s="186">
        <v>38577</v>
      </c>
      <c r="D113" s="188">
        <f t="shared" si="4"/>
        <v>2005</v>
      </c>
      <c r="E113" s="183" t="s">
        <v>531</v>
      </c>
      <c r="F113" s="178">
        <v>500</v>
      </c>
      <c r="G113" s="178">
        <v>8785</v>
      </c>
      <c r="H113" s="178">
        <v>4235</v>
      </c>
      <c r="I113" s="178">
        <v>4550</v>
      </c>
    </row>
    <row r="114" spans="1:9">
      <c r="A114" s="179" t="s">
        <v>423</v>
      </c>
      <c r="B114" s="179" t="s">
        <v>516</v>
      </c>
      <c r="C114" s="186">
        <v>38577</v>
      </c>
      <c r="D114" s="188">
        <f t="shared" si="4"/>
        <v>2005</v>
      </c>
      <c r="E114" s="183" t="s">
        <v>531</v>
      </c>
      <c r="F114" s="178">
        <v>500</v>
      </c>
      <c r="G114" s="178">
        <v>10955</v>
      </c>
      <c r="H114" s="178">
        <v>4920</v>
      </c>
      <c r="I114" s="178">
        <v>6035</v>
      </c>
    </row>
    <row r="115" spans="1:9">
      <c r="A115" s="179" t="s">
        <v>528</v>
      </c>
      <c r="B115" s="179" t="s">
        <v>518</v>
      </c>
      <c r="C115" s="186">
        <v>38577</v>
      </c>
      <c r="D115" s="188">
        <f t="shared" si="4"/>
        <v>2005</v>
      </c>
      <c r="E115" s="183" t="s">
        <v>529</v>
      </c>
      <c r="F115" s="178">
        <v>1000</v>
      </c>
      <c r="G115" s="178">
        <v>22680</v>
      </c>
      <c r="H115" s="178">
        <v>10220</v>
      </c>
      <c r="I115" s="178">
        <v>12460</v>
      </c>
    </row>
    <row r="116" spans="1:9">
      <c r="A116" s="179" t="s">
        <v>429</v>
      </c>
      <c r="B116" s="179" t="s">
        <v>518</v>
      </c>
      <c r="C116" s="186">
        <v>38578</v>
      </c>
      <c r="D116" s="188">
        <f t="shared" si="4"/>
        <v>2005</v>
      </c>
      <c r="E116" s="183" t="s">
        <v>525</v>
      </c>
      <c r="F116" s="178">
        <v>600</v>
      </c>
      <c r="G116" s="178">
        <v>15006</v>
      </c>
      <c r="H116" s="178">
        <v>6132</v>
      </c>
      <c r="I116" s="178">
        <v>8874</v>
      </c>
    </row>
    <row r="117" spans="1:9">
      <c r="A117" s="179" t="s">
        <v>429</v>
      </c>
      <c r="B117" s="179" t="s">
        <v>518</v>
      </c>
      <c r="C117" s="186">
        <v>38585</v>
      </c>
      <c r="D117" s="188">
        <f t="shared" si="4"/>
        <v>2005</v>
      </c>
      <c r="E117" s="183" t="s">
        <v>545</v>
      </c>
      <c r="F117" s="178">
        <v>800</v>
      </c>
      <c r="G117" s="178">
        <v>18264</v>
      </c>
      <c r="H117" s="178">
        <v>8176</v>
      </c>
      <c r="I117" s="178">
        <v>10088</v>
      </c>
    </row>
    <row r="118" spans="1:9">
      <c r="A118" s="179" t="s">
        <v>528</v>
      </c>
      <c r="B118" s="179" t="s">
        <v>517</v>
      </c>
      <c r="C118" s="186">
        <v>38585</v>
      </c>
      <c r="D118" s="188">
        <f t="shared" si="4"/>
        <v>2005</v>
      </c>
      <c r="E118" s="183" t="s">
        <v>532</v>
      </c>
      <c r="F118" s="178">
        <v>600</v>
      </c>
      <c r="G118" s="178">
        <v>12360</v>
      </c>
      <c r="H118" s="178">
        <v>5082</v>
      </c>
      <c r="I118" s="178">
        <v>7278</v>
      </c>
    </row>
    <row r="119" spans="1:9">
      <c r="A119" s="179" t="s">
        <v>423</v>
      </c>
      <c r="B119" s="179" t="s">
        <v>517</v>
      </c>
      <c r="C119" s="186">
        <v>38586</v>
      </c>
      <c r="D119" s="188">
        <f t="shared" si="4"/>
        <v>2005</v>
      </c>
      <c r="E119" s="183" t="s">
        <v>546</v>
      </c>
      <c r="F119" s="178">
        <v>300</v>
      </c>
      <c r="G119" s="178">
        <v>5859</v>
      </c>
      <c r="H119" s="178">
        <v>2541</v>
      </c>
      <c r="I119" s="178">
        <v>3318</v>
      </c>
    </row>
    <row r="120" spans="1:9">
      <c r="A120" s="179" t="s">
        <v>528</v>
      </c>
      <c r="B120" s="179" t="s">
        <v>516</v>
      </c>
      <c r="C120" s="186">
        <v>38588</v>
      </c>
      <c r="D120" s="188">
        <f t="shared" si="4"/>
        <v>2005</v>
      </c>
      <c r="E120" s="183" t="s">
        <v>529</v>
      </c>
      <c r="F120" s="178">
        <v>900</v>
      </c>
      <c r="G120" s="178">
        <v>18990</v>
      </c>
      <c r="H120" s="178">
        <v>8856</v>
      </c>
      <c r="I120" s="178">
        <v>10134</v>
      </c>
    </row>
    <row r="121" spans="1:9">
      <c r="A121" s="179" t="s">
        <v>528</v>
      </c>
      <c r="B121" s="179" t="s">
        <v>518</v>
      </c>
      <c r="C121" s="186">
        <v>38590</v>
      </c>
      <c r="D121" s="188">
        <f t="shared" si="4"/>
        <v>2005</v>
      </c>
      <c r="E121" s="183" t="s">
        <v>525</v>
      </c>
      <c r="F121" s="178">
        <v>600</v>
      </c>
      <c r="G121" s="178">
        <v>14448</v>
      </c>
      <c r="H121" s="178">
        <v>6132</v>
      </c>
      <c r="I121" s="178">
        <v>8316</v>
      </c>
    </row>
    <row r="122" spans="1:9">
      <c r="A122" s="179" t="s">
        <v>528</v>
      </c>
      <c r="B122" s="179" t="s">
        <v>517</v>
      </c>
      <c r="C122" s="186">
        <v>38591</v>
      </c>
      <c r="D122" s="188">
        <f t="shared" si="4"/>
        <v>2005</v>
      </c>
      <c r="E122" s="183" t="s">
        <v>529</v>
      </c>
      <c r="F122" s="178">
        <v>1000</v>
      </c>
      <c r="G122" s="178">
        <v>21010</v>
      </c>
      <c r="H122" s="178">
        <v>8470</v>
      </c>
      <c r="I122" s="178">
        <v>12540</v>
      </c>
    </row>
    <row r="123" spans="1:9">
      <c r="A123" s="179" t="s">
        <v>423</v>
      </c>
      <c r="B123" s="179" t="s">
        <v>516</v>
      </c>
      <c r="C123" s="186">
        <v>38594</v>
      </c>
      <c r="D123" s="188">
        <f t="shared" si="4"/>
        <v>2005</v>
      </c>
      <c r="E123" s="183" t="s">
        <v>531</v>
      </c>
      <c r="F123" s="178">
        <v>300</v>
      </c>
      <c r="G123" s="178">
        <v>7032</v>
      </c>
      <c r="H123" s="178">
        <v>2952</v>
      </c>
      <c r="I123" s="178">
        <v>4080</v>
      </c>
    </row>
    <row r="124" spans="1:9">
      <c r="A124" s="179" t="s">
        <v>528</v>
      </c>
      <c r="B124" s="179" t="s">
        <v>518</v>
      </c>
      <c r="C124" s="186">
        <v>38595</v>
      </c>
      <c r="D124" s="188">
        <f t="shared" si="4"/>
        <v>2005</v>
      </c>
      <c r="E124" s="183" t="s">
        <v>532</v>
      </c>
      <c r="F124" s="178">
        <v>500</v>
      </c>
      <c r="G124" s="178">
        <v>11525</v>
      </c>
      <c r="H124" s="178">
        <v>5110</v>
      </c>
      <c r="I124" s="178">
        <v>6415</v>
      </c>
    </row>
    <row r="125" spans="1:9">
      <c r="A125" s="179" t="s">
        <v>429</v>
      </c>
      <c r="B125" s="179" t="s">
        <v>517</v>
      </c>
      <c r="C125" s="186">
        <v>38596</v>
      </c>
      <c r="D125" s="188">
        <f t="shared" si="4"/>
        <v>2005</v>
      </c>
      <c r="E125" s="183" t="s">
        <v>524</v>
      </c>
      <c r="F125" s="178">
        <v>300</v>
      </c>
      <c r="G125" s="178">
        <v>6045</v>
      </c>
      <c r="H125" s="178">
        <v>2541</v>
      </c>
      <c r="I125" s="178">
        <v>3504</v>
      </c>
    </row>
    <row r="126" spans="1:9">
      <c r="A126" s="179" t="s">
        <v>423</v>
      </c>
      <c r="B126" s="179" t="s">
        <v>516</v>
      </c>
      <c r="C126" s="186">
        <v>38597</v>
      </c>
      <c r="D126" s="188">
        <f t="shared" si="4"/>
        <v>2005</v>
      </c>
      <c r="E126" s="183" t="s">
        <v>523</v>
      </c>
      <c r="F126" s="178">
        <v>600</v>
      </c>
      <c r="G126" s="178">
        <v>14472</v>
      </c>
      <c r="H126" s="178">
        <v>5904</v>
      </c>
      <c r="I126" s="178">
        <v>8568</v>
      </c>
    </row>
    <row r="127" spans="1:9">
      <c r="A127" s="179" t="s">
        <v>429</v>
      </c>
      <c r="B127" s="179" t="s">
        <v>517</v>
      </c>
      <c r="C127" s="186">
        <v>38598</v>
      </c>
      <c r="D127" s="188">
        <f t="shared" si="4"/>
        <v>2005</v>
      </c>
      <c r="E127" s="183" t="s">
        <v>533</v>
      </c>
      <c r="F127" s="178">
        <v>200</v>
      </c>
      <c r="G127" s="178">
        <v>3632</v>
      </c>
      <c r="H127" s="178">
        <v>1694</v>
      </c>
      <c r="I127" s="178">
        <v>1938</v>
      </c>
    </row>
    <row r="128" spans="1:9">
      <c r="A128" s="179" t="s">
        <v>429</v>
      </c>
      <c r="B128" s="179" t="s">
        <v>518</v>
      </c>
      <c r="C128" s="186">
        <v>38600</v>
      </c>
      <c r="D128" s="188">
        <f t="shared" si="4"/>
        <v>2005</v>
      </c>
      <c r="E128" s="183" t="s">
        <v>537</v>
      </c>
      <c r="F128" s="178">
        <v>600</v>
      </c>
      <c r="G128" s="178">
        <v>12570</v>
      </c>
      <c r="H128" s="178">
        <v>6132</v>
      </c>
      <c r="I128" s="178">
        <v>6438</v>
      </c>
    </row>
    <row r="129" spans="1:9">
      <c r="A129" s="179" t="s">
        <v>429</v>
      </c>
      <c r="B129" s="179" t="s">
        <v>516</v>
      </c>
      <c r="C129" s="186">
        <v>38602</v>
      </c>
      <c r="D129" s="188">
        <f t="shared" si="4"/>
        <v>2005</v>
      </c>
      <c r="E129" s="183" t="s">
        <v>530</v>
      </c>
      <c r="F129" s="178">
        <v>600</v>
      </c>
      <c r="G129" s="178">
        <v>12798</v>
      </c>
      <c r="H129" s="178">
        <v>5904</v>
      </c>
      <c r="I129" s="178">
        <v>6894</v>
      </c>
    </row>
    <row r="130" spans="1:9">
      <c r="A130" s="179" t="s">
        <v>423</v>
      </c>
      <c r="B130" s="179" t="s">
        <v>517</v>
      </c>
      <c r="C130" s="186">
        <v>38606</v>
      </c>
      <c r="D130" s="188">
        <f t="shared" ref="D130:D193" si="5">YEAR(C130)</f>
        <v>2005</v>
      </c>
      <c r="E130" s="183" t="s">
        <v>530</v>
      </c>
      <c r="F130" s="178">
        <v>1000</v>
      </c>
      <c r="G130" s="178">
        <v>19250</v>
      </c>
      <c r="H130" s="178">
        <v>8470</v>
      </c>
      <c r="I130" s="178">
        <v>10780</v>
      </c>
    </row>
    <row r="131" spans="1:9">
      <c r="A131" s="179" t="s">
        <v>429</v>
      </c>
      <c r="B131" s="179" t="s">
        <v>516</v>
      </c>
      <c r="C131" s="186">
        <v>38607</v>
      </c>
      <c r="D131" s="188">
        <f t="shared" si="5"/>
        <v>2005</v>
      </c>
      <c r="E131" s="183" t="s">
        <v>531</v>
      </c>
      <c r="F131" s="178">
        <v>200</v>
      </c>
      <c r="G131" s="178">
        <v>4740</v>
      </c>
      <c r="H131" s="178">
        <v>1968</v>
      </c>
      <c r="I131" s="178">
        <v>2772</v>
      </c>
    </row>
    <row r="132" spans="1:9">
      <c r="A132" s="179" t="s">
        <v>528</v>
      </c>
      <c r="B132" s="179" t="s">
        <v>517</v>
      </c>
      <c r="C132" s="186">
        <v>38608</v>
      </c>
      <c r="D132" s="188">
        <f t="shared" si="5"/>
        <v>2005</v>
      </c>
      <c r="E132" s="183" t="s">
        <v>531</v>
      </c>
      <c r="F132" s="178">
        <v>800</v>
      </c>
      <c r="G132" s="178">
        <v>15976</v>
      </c>
      <c r="H132" s="178">
        <v>6776</v>
      </c>
      <c r="I132" s="178">
        <v>9200</v>
      </c>
    </row>
    <row r="133" spans="1:9">
      <c r="A133" s="179" t="s">
        <v>423</v>
      </c>
      <c r="B133" s="179" t="s">
        <v>518</v>
      </c>
      <c r="C133" s="186">
        <v>38608</v>
      </c>
      <c r="D133" s="188">
        <f t="shared" si="5"/>
        <v>2005</v>
      </c>
      <c r="E133" s="183" t="s">
        <v>547</v>
      </c>
      <c r="F133" s="178">
        <v>500</v>
      </c>
      <c r="G133" s="178">
        <v>11680</v>
      </c>
      <c r="H133" s="178">
        <v>5110</v>
      </c>
      <c r="I133" s="178">
        <v>6570</v>
      </c>
    </row>
    <row r="134" spans="1:9">
      <c r="A134" s="179" t="s">
        <v>528</v>
      </c>
      <c r="B134" s="179" t="s">
        <v>518</v>
      </c>
      <c r="C134" s="186">
        <v>38610</v>
      </c>
      <c r="D134" s="188">
        <f t="shared" si="5"/>
        <v>2005</v>
      </c>
      <c r="E134" s="183" t="s">
        <v>531</v>
      </c>
      <c r="F134" s="178">
        <v>500</v>
      </c>
      <c r="G134" s="178">
        <v>10550</v>
      </c>
      <c r="H134" s="178">
        <v>5110</v>
      </c>
      <c r="I134" s="178">
        <v>5440</v>
      </c>
    </row>
    <row r="135" spans="1:9">
      <c r="A135" s="179" t="s">
        <v>429</v>
      </c>
      <c r="B135" s="179" t="s">
        <v>516</v>
      </c>
      <c r="C135" s="186">
        <v>38612</v>
      </c>
      <c r="D135" s="188">
        <f t="shared" si="5"/>
        <v>2005</v>
      </c>
      <c r="E135" s="183" t="s">
        <v>533</v>
      </c>
      <c r="F135" s="178">
        <v>400</v>
      </c>
      <c r="G135" s="178">
        <v>9760</v>
      </c>
      <c r="H135" s="178">
        <v>3936</v>
      </c>
      <c r="I135" s="178">
        <v>5824</v>
      </c>
    </row>
    <row r="136" spans="1:9">
      <c r="A136" s="179" t="s">
        <v>429</v>
      </c>
      <c r="B136" s="179" t="s">
        <v>517</v>
      </c>
      <c r="C136" s="186">
        <v>38614</v>
      </c>
      <c r="D136" s="188">
        <f t="shared" si="5"/>
        <v>2005</v>
      </c>
      <c r="E136" s="183" t="s">
        <v>543</v>
      </c>
      <c r="F136" s="178">
        <v>100</v>
      </c>
      <c r="G136" s="178">
        <v>1819</v>
      </c>
      <c r="H136" s="178">
        <v>847</v>
      </c>
      <c r="I136" s="178">
        <v>972</v>
      </c>
    </row>
    <row r="137" spans="1:9">
      <c r="A137" s="179" t="s">
        <v>528</v>
      </c>
      <c r="B137" s="179" t="s">
        <v>517</v>
      </c>
      <c r="C137" s="186">
        <v>38618</v>
      </c>
      <c r="D137" s="188">
        <f t="shared" si="5"/>
        <v>2005</v>
      </c>
      <c r="E137" s="183" t="s">
        <v>525</v>
      </c>
      <c r="F137" s="178">
        <v>900</v>
      </c>
      <c r="G137" s="178">
        <v>15255</v>
      </c>
      <c r="H137" s="178">
        <v>7623</v>
      </c>
      <c r="I137" s="178">
        <v>7632</v>
      </c>
    </row>
    <row r="138" spans="1:9">
      <c r="A138" s="179" t="s">
        <v>429</v>
      </c>
      <c r="B138" s="179" t="s">
        <v>516</v>
      </c>
      <c r="C138" s="186">
        <v>38619</v>
      </c>
      <c r="D138" s="188">
        <f t="shared" si="5"/>
        <v>2005</v>
      </c>
      <c r="E138" s="183" t="s">
        <v>533</v>
      </c>
      <c r="F138" s="178">
        <v>900</v>
      </c>
      <c r="G138" s="178">
        <v>18486</v>
      </c>
      <c r="H138" s="178">
        <v>8856</v>
      </c>
      <c r="I138" s="178">
        <v>9630</v>
      </c>
    </row>
    <row r="139" spans="1:9">
      <c r="A139" s="179" t="s">
        <v>528</v>
      </c>
      <c r="B139" s="179" t="s">
        <v>518</v>
      </c>
      <c r="C139" s="186">
        <v>38619</v>
      </c>
      <c r="D139" s="188">
        <f t="shared" si="5"/>
        <v>2005</v>
      </c>
      <c r="E139" s="183" t="s">
        <v>548</v>
      </c>
      <c r="F139" s="178">
        <v>300</v>
      </c>
      <c r="G139" s="178">
        <v>7167</v>
      </c>
      <c r="H139" s="178">
        <v>3066</v>
      </c>
      <c r="I139" s="178">
        <v>4101</v>
      </c>
    </row>
    <row r="140" spans="1:9">
      <c r="A140" s="179" t="s">
        <v>429</v>
      </c>
      <c r="B140" s="179" t="s">
        <v>516</v>
      </c>
      <c r="C140" s="186">
        <v>38619</v>
      </c>
      <c r="D140" s="188">
        <f t="shared" si="5"/>
        <v>2005</v>
      </c>
      <c r="E140" s="183" t="s">
        <v>524</v>
      </c>
      <c r="F140" s="178">
        <v>500</v>
      </c>
      <c r="G140" s="178">
        <v>10295</v>
      </c>
      <c r="H140" s="178">
        <v>4920</v>
      </c>
      <c r="I140" s="178">
        <v>5375</v>
      </c>
    </row>
    <row r="141" spans="1:9">
      <c r="A141" s="179" t="s">
        <v>429</v>
      </c>
      <c r="B141" s="179" t="s">
        <v>518</v>
      </c>
      <c r="C141" s="186">
        <v>38619</v>
      </c>
      <c r="D141" s="188">
        <f t="shared" si="5"/>
        <v>2005</v>
      </c>
      <c r="E141" s="183" t="s">
        <v>532</v>
      </c>
      <c r="F141" s="178">
        <v>500</v>
      </c>
      <c r="G141" s="178">
        <v>10935</v>
      </c>
      <c r="H141" s="178">
        <v>5110</v>
      </c>
      <c r="I141" s="178">
        <v>5825</v>
      </c>
    </row>
    <row r="142" spans="1:9">
      <c r="A142" s="179" t="s">
        <v>528</v>
      </c>
      <c r="B142" s="179" t="s">
        <v>517</v>
      </c>
      <c r="C142" s="186">
        <v>38623</v>
      </c>
      <c r="D142" s="188">
        <f t="shared" si="5"/>
        <v>2005</v>
      </c>
      <c r="E142" s="183" t="s">
        <v>533</v>
      </c>
      <c r="F142" s="178">
        <v>600</v>
      </c>
      <c r="G142" s="178">
        <v>10290</v>
      </c>
      <c r="H142" s="178">
        <v>5082</v>
      </c>
      <c r="I142" s="178">
        <v>5208</v>
      </c>
    </row>
    <row r="143" spans="1:9">
      <c r="A143" s="179" t="s">
        <v>429</v>
      </c>
      <c r="B143" s="179" t="s">
        <v>516</v>
      </c>
      <c r="C143" s="186">
        <v>38623</v>
      </c>
      <c r="D143" s="188">
        <f t="shared" si="5"/>
        <v>2005</v>
      </c>
      <c r="E143" s="183" t="s">
        <v>533</v>
      </c>
      <c r="F143" s="178">
        <v>200</v>
      </c>
      <c r="G143" s="178">
        <v>4186</v>
      </c>
      <c r="H143" s="178">
        <v>1968</v>
      </c>
      <c r="I143" s="178">
        <v>2218</v>
      </c>
    </row>
    <row r="144" spans="1:9">
      <c r="A144" s="179" t="s">
        <v>528</v>
      </c>
      <c r="B144" s="179" t="s">
        <v>517</v>
      </c>
      <c r="C144" s="186">
        <v>38626</v>
      </c>
      <c r="D144" s="188">
        <f t="shared" si="5"/>
        <v>2005</v>
      </c>
      <c r="E144" s="183" t="s">
        <v>532</v>
      </c>
      <c r="F144" s="178">
        <v>1000</v>
      </c>
      <c r="G144" s="178">
        <v>18290</v>
      </c>
      <c r="H144" s="178">
        <v>8470</v>
      </c>
      <c r="I144" s="178">
        <v>9820</v>
      </c>
    </row>
    <row r="145" spans="1:9">
      <c r="A145" s="179" t="s">
        <v>528</v>
      </c>
      <c r="B145" s="179" t="s">
        <v>517</v>
      </c>
      <c r="C145" s="186">
        <v>38627</v>
      </c>
      <c r="D145" s="188">
        <f t="shared" si="5"/>
        <v>2005</v>
      </c>
      <c r="E145" s="183" t="s">
        <v>525</v>
      </c>
      <c r="F145" s="178">
        <v>500</v>
      </c>
      <c r="G145" s="178">
        <v>9460</v>
      </c>
      <c r="H145" s="178">
        <v>4235</v>
      </c>
      <c r="I145" s="178">
        <v>5225</v>
      </c>
    </row>
    <row r="146" spans="1:9">
      <c r="A146" s="179" t="s">
        <v>429</v>
      </c>
      <c r="B146" s="179" t="s">
        <v>516</v>
      </c>
      <c r="C146" s="186">
        <v>38627</v>
      </c>
      <c r="D146" s="188">
        <f t="shared" si="5"/>
        <v>2005</v>
      </c>
      <c r="E146" s="183" t="s">
        <v>537</v>
      </c>
      <c r="F146" s="178">
        <v>600</v>
      </c>
      <c r="G146" s="178">
        <v>14580</v>
      </c>
      <c r="H146" s="178">
        <v>5904</v>
      </c>
      <c r="I146" s="178">
        <v>8676</v>
      </c>
    </row>
    <row r="147" spans="1:9">
      <c r="A147" s="179" t="s">
        <v>528</v>
      </c>
      <c r="B147" s="179" t="s">
        <v>516</v>
      </c>
      <c r="C147" s="186">
        <v>38629</v>
      </c>
      <c r="D147" s="188">
        <f t="shared" si="5"/>
        <v>2005</v>
      </c>
      <c r="E147" s="183" t="s">
        <v>524</v>
      </c>
      <c r="F147" s="178">
        <v>300</v>
      </c>
      <c r="G147" s="178">
        <v>6159</v>
      </c>
      <c r="H147" s="178">
        <v>2952</v>
      </c>
      <c r="I147" s="178">
        <v>3207</v>
      </c>
    </row>
    <row r="148" spans="1:9">
      <c r="A148" s="179" t="s">
        <v>423</v>
      </c>
      <c r="B148" s="179" t="s">
        <v>518</v>
      </c>
      <c r="C148" s="186">
        <v>38633</v>
      </c>
      <c r="D148" s="188">
        <f t="shared" si="5"/>
        <v>2005</v>
      </c>
      <c r="E148" s="183" t="s">
        <v>532</v>
      </c>
      <c r="F148" s="178">
        <v>1000</v>
      </c>
      <c r="G148" s="178">
        <v>24070</v>
      </c>
      <c r="H148" s="178">
        <v>10220</v>
      </c>
      <c r="I148" s="178">
        <v>13850</v>
      </c>
    </row>
    <row r="149" spans="1:9">
      <c r="A149" s="179" t="s">
        <v>528</v>
      </c>
      <c r="B149" s="179" t="s">
        <v>516</v>
      </c>
      <c r="C149" s="186">
        <v>38637</v>
      </c>
      <c r="D149" s="188">
        <f t="shared" si="5"/>
        <v>2005</v>
      </c>
      <c r="E149" s="183" t="s">
        <v>537</v>
      </c>
      <c r="F149" s="178">
        <v>300</v>
      </c>
      <c r="G149" s="178">
        <v>7245</v>
      </c>
      <c r="H149" s="178">
        <v>2952</v>
      </c>
      <c r="I149" s="178">
        <v>4293</v>
      </c>
    </row>
    <row r="150" spans="1:9">
      <c r="A150" s="179" t="s">
        <v>423</v>
      </c>
      <c r="B150" s="179" t="s">
        <v>516</v>
      </c>
      <c r="C150" s="186">
        <v>38638</v>
      </c>
      <c r="D150" s="188">
        <f t="shared" si="5"/>
        <v>2005</v>
      </c>
      <c r="E150" s="183" t="s">
        <v>534</v>
      </c>
      <c r="F150" s="178">
        <v>300</v>
      </c>
      <c r="G150" s="178">
        <v>6582</v>
      </c>
      <c r="H150" s="178">
        <v>2952</v>
      </c>
      <c r="I150" s="178">
        <v>3630</v>
      </c>
    </row>
    <row r="151" spans="1:9">
      <c r="A151" s="179" t="s">
        <v>528</v>
      </c>
      <c r="B151" s="179" t="s">
        <v>517</v>
      </c>
      <c r="C151" s="186">
        <v>38638</v>
      </c>
      <c r="D151" s="188">
        <f t="shared" si="5"/>
        <v>2005</v>
      </c>
      <c r="E151" s="183" t="s">
        <v>524</v>
      </c>
      <c r="F151" s="178">
        <v>600</v>
      </c>
      <c r="G151" s="178">
        <v>11922</v>
      </c>
      <c r="H151" s="178">
        <v>5082</v>
      </c>
      <c r="I151" s="178">
        <v>6840</v>
      </c>
    </row>
    <row r="152" spans="1:9">
      <c r="A152" s="179" t="s">
        <v>528</v>
      </c>
      <c r="B152" s="179" t="s">
        <v>518</v>
      </c>
      <c r="C152" s="186">
        <v>38639</v>
      </c>
      <c r="D152" s="188">
        <f t="shared" si="5"/>
        <v>2005</v>
      </c>
      <c r="E152" s="183" t="s">
        <v>531</v>
      </c>
      <c r="F152" s="178">
        <v>400</v>
      </c>
      <c r="G152" s="178">
        <v>8804</v>
      </c>
      <c r="H152" s="178">
        <v>4088</v>
      </c>
      <c r="I152" s="178">
        <v>4716</v>
      </c>
    </row>
    <row r="153" spans="1:9">
      <c r="A153" s="179" t="s">
        <v>429</v>
      </c>
      <c r="B153" s="179" t="s">
        <v>517</v>
      </c>
      <c r="C153" s="186">
        <v>38642</v>
      </c>
      <c r="D153" s="188">
        <f t="shared" si="5"/>
        <v>2005</v>
      </c>
      <c r="E153" s="183" t="s">
        <v>525</v>
      </c>
      <c r="F153" s="178">
        <v>600</v>
      </c>
      <c r="G153" s="178">
        <v>12318</v>
      </c>
      <c r="H153" s="178">
        <v>5082</v>
      </c>
      <c r="I153" s="178">
        <v>7236</v>
      </c>
    </row>
    <row r="154" spans="1:9">
      <c r="A154" s="179" t="s">
        <v>528</v>
      </c>
      <c r="B154" s="179" t="s">
        <v>517</v>
      </c>
      <c r="C154" s="186">
        <v>38644</v>
      </c>
      <c r="D154" s="188">
        <f t="shared" si="5"/>
        <v>2005</v>
      </c>
      <c r="E154" s="183" t="s">
        <v>531</v>
      </c>
      <c r="F154" s="178">
        <v>700</v>
      </c>
      <c r="G154" s="178">
        <v>13433</v>
      </c>
      <c r="H154" s="178">
        <v>5929</v>
      </c>
      <c r="I154" s="178">
        <v>7504</v>
      </c>
    </row>
    <row r="155" spans="1:9">
      <c r="A155" s="179" t="s">
        <v>528</v>
      </c>
      <c r="B155" s="179" t="s">
        <v>518</v>
      </c>
      <c r="C155" s="186">
        <v>38646</v>
      </c>
      <c r="D155" s="188">
        <f t="shared" si="5"/>
        <v>2005</v>
      </c>
      <c r="E155" s="183" t="s">
        <v>533</v>
      </c>
      <c r="F155" s="178">
        <v>600</v>
      </c>
      <c r="G155" s="178">
        <v>12480</v>
      </c>
      <c r="H155" s="178">
        <v>6132</v>
      </c>
      <c r="I155" s="178">
        <v>6348</v>
      </c>
    </row>
    <row r="156" spans="1:9">
      <c r="A156" s="179" t="s">
        <v>423</v>
      </c>
      <c r="B156" s="179" t="s">
        <v>516</v>
      </c>
      <c r="C156" s="186">
        <v>38647</v>
      </c>
      <c r="D156" s="188">
        <f t="shared" si="5"/>
        <v>2005</v>
      </c>
      <c r="E156" s="183" t="s">
        <v>532</v>
      </c>
      <c r="F156" s="178">
        <v>800</v>
      </c>
      <c r="G156" s="178">
        <v>17544</v>
      </c>
      <c r="H156" s="178">
        <v>7872</v>
      </c>
      <c r="I156" s="178">
        <v>9672</v>
      </c>
    </row>
    <row r="157" spans="1:9">
      <c r="A157" s="179" t="s">
        <v>429</v>
      </c>
      <c r="B157" s="179" t="s">
        <v>516</v>
      </c>
      <c r="C157" s="186">
        <v>38650</v>
      </c>
      <c r="D157" s="188">
        <f t="shared" si="5"/>
        <v>2005</v>
      </c>
      <c r="E157" s="183" t="s">
        <v>531</v>
      </c>
      <c r="F157" s="178">
        <v>100</v>
      </c>
      <c r="G157" s="178">
        <v>2272</v>
      </c>
      <c r="H157" s="178">
        <v>984</v>
      </c>
      <c r="I157" s="178">
        <v>1288</v>
      </c>
    </row>
    <row r="158" spans="1:9">
      <c r="A158" s="179" t="s">
        <v>423</v>
      </c>
      <c r="B158" s="179" t="s">
        <v>516</v>
      </c>
      <c r="C158" s="186">
        <v>38650</v>
      </c>
      <c r="D158" s="188">
        <f t="shared" si="5"/>
        <v>2005</v>
      </c>
      <c r="E158" s="183" t="s">
        <v>532</v>
      </c>
      <c r="F158" s="178">
        <v>900</v>
      </c>
      <c r="G158" s="178">
        <v>18099</v>
      </c>
      <c r="H158" s="178">
        <v>8856</v>
      </c>
      <c r="I158" s="178">
        <v>9243</v>
      </c>
    </row>
    <row r="159" spans="1:9">
      <c r="A159" s="179" t="s">
        <v>528</v>
      </c>
      <c r="B159" s="179" t="s">
        <v>517</v>
      </c>
      <c r="C159" s="186">
        <v>38655</v>
      </c>
      <c r="D159" s="188">
        <f t="shared" si="5"/>
        <v>2005</v>
      </c>
      <c r="E159" s="183" t="s">
        <v>531</v>
      </c>
      <c r="F159" s="178">
        <v>300</v>
      </c>
      <c r="G159" s="178">
        <v>5847</v>
      </c>
      <c r="H159" s="178">
        <v>2541</v>
      </c>
      <c r="I159" s="178">
        <v>3306</v>
      </c>
    </row>
    <row r="160" spans="1:9">
      <c r="A160" s="179" t="s">
        <v>528</v>
      </c>
      <c r="B160" s="179" t="s">
        <v>516</v>
      </c>
      <c r="C160" s="186">
        <v>38656</v>
      </c>
      <c r="D160" s="188">
        <f t="shared" si="5"/>
        <v>2005</v>
      </c>
      <c r="E160" s="183" t="s">
        <v>537</v>
      </c>
      <c r="F160" s="178">
        <v>700</v>
      </c>
      <c r="G160" s="178">
        <v>17213</v>
      </c>
      <c r="H160" s="178">
        <v>6888</v>
      </c>
      <c r="I160" s="178">
        <v>10325</v>
      </c>
    </row>
    <row r="161" spans="1:9">
      <c r="A161" s="179" t="s">
        <v>429</v>
      </c>
      <c r="B161" s="179" t="s">
        <v>518</v>
      </c>
      <c r="C161" s="186">
        <v>38656</v>
      </c>
      <c r="D161" s="188">
        <f t="shared" si="5"/>
        <v>2005</v>
      </c>
      <c r="E161" s="183" t="s">
        <v>533</v>
      </c>
      <c r="F161" s="178">
        <v>100</v>
      </c>
      <c r="G161" s="178">
        <v>2095</v>
      </c>
      <c r="H161" s="178">
        <v>1022</v>
      </c>
      <c r="I161" s="178">
        <v>1073</v>
      </c>
    </row>
    <row r="162" spans="1:9">
      <c r="A162" s="179" t="s">
        <v>429</v>
      </c>
      <c r="B162" s="179" t="s">
        <v>517</v>
      </c>
      <c r="C162" s="186">
        <v>38658</v>
      </c>
      <c r="D162" s="188">
        <f t="shared" si="5"/>
        <v>2005</v>
      </c>
      <c r="E162" s="183" t="s">
        <v>523</v>
      </c>
      <c r="F162" s="178">
        <v>600</v>
      </c>
      <c r="G162" s="178">
        <v>11598</v>
      </c>
      <c r="H162" s="178">
        <v>5082</v>
      </c>
      <c r="I162" s="178">
        <v>6516</v>
      </c>
    </row>
    <row r="163" spans="1:9">
      <c r="A163" s="179" t="s">
        <v>528</v>
      </c>
      <c r="B163" s="179" t="s">
        <v>516</v>
      </c>
      <c r="C163" s="186">
        <v>38658</v>
      </c>
      <c r="D163" s="188">
        <f t="shared" si="5"/>
        <v>2005</v>
      </c>
      <c r="E163" s="183" t="s">
        <v>534</v>
      </c>
      <c r="F163" s="178">
        <v>200</v>
      </c>
      <c r="G163" s="178">
        <v>4286</v>
      </c>
      <c r="H163" s="178">
        <v>1968</v>
      </c>
      <c r="I163" s="178">
        <v>2318</v>
      </c>
    </row>
    <row r="164" spans="1:9">
      <c r="A164" s="179" t="s">
        <v>528</v>
      </c>
      <c r="B164" s="179" t="s">
        <v>518</v>
      </c>
      <c r="C164" s="186">
        <v>38659</v>
      </c>
      <c r="D164" s="188">
        <f t="shared" si="5"/>
        <v>2005</v>
      </c>
      <c r="E164" s="183" t="s">
        <v>523</v>
      </c>
      <c r="F164" s="178">
        <v>100</v>
      </c>
      <c r="G164" s="178">
        <v>2320</v>
      </c>
      <c r="H164" s="178">
        <v>1022</v>
      </c>
      <c r="I164" s="178">
        <v>1298</v>
      </c>
    </row>
    <row r="165" spans="1:9">
      <c r="A165" s="179" t="s">
        <v>429</v>
      </c>
      <c r="B165" s="179" t="s">
        <v>516</v>
      </c>
      <c r="C165" s="186">
        <v>38660</v>
      </c>
      <c r="D165" s="188">
        <f t="shared" si="5"/>
        <v>2005</v>
      </c>
      <c r="E165" s="183" t="s">
        <v>531</v>
      </c>
      <c r="F165" s="178">
        <v>300</v>
      </c>
      <c r="G165" s="178">
        <v>6588</v>
      </c>
      <c r="H165" s="178">
        <v>2952</v>
      </c>
      <c r="I165" s="178">
        <v>3636</v>
      </c>
    </row>
    <row r="166" spans="1:9">
      <c r="A166" s="179" t="s">
        <v>429</v>
      </c>
      <c r="B166" s="179" t="s">
        <v>517</v>
      </c>
      <c r="C166" s="186">
        <v>38662</v>
      </c>
      <c r="D166" s="188">
        <f t="shared" si="5"/>
        <v>2005</v>
      </c>
      <c r="E166" s="183" t="s">
        <v>524</v>
      </c>
      <c r="F166" s="178">
        <v>700</v>
      </c>
      <c r="G166" s="178">
        <v>13195</v>
      </c>
      <c r="H166" s="178">
        <v>5929</v>
      </c>
      <c r="I166" s="178">
        <v>7266</v>
      </c>
    </row>
    <row r="167" spans="1:9">
      <c r="A167" s="179" t="s">
        <v>528</v>
      </c>
      <c r="B167" s="179" t="s">
        <v>517</v>
      </c>
      <c r="C167" s="186">
        <v>38664</v>
      </c>
      <c r="D167" s="188">
        <f t="shared" si="5"/>
        <v>2005</v>
      </c>
      <c r="E167" s="183" t="s">
        <v>525</v>
      </c>
      <c r="F167" s="178">
        <v>100</v>
      </c>
      <c r="G167" s="178">
        <v>1795</v>
      </c>
      <c r="H167" s="178">
        <v>847</v>
      </c>
      <c r="I167" s="178">
        <v>948</v>
      </c>
    </row>
    <row r="168" spans="1:9">
      <c r="A168" s="179" t="s">
        <v>429</v>
      </c>
      <c r="B168" s="179" t="s">
        <v>517</v>
      </c>
      <c r="C168" s="186">
        <v>38664</v>
      </c>
      <c r="D168" s="188">
        <f t="shared" si="5"/>
        <v>2005</v>
      </c>
      <c r="E168" s="183" t="s">
        <v>525</v>
      </c>
      <c r="F168" s="178">
        <v>300</v>
      </c>
      <c r="G168" s="178">
        <v>5370</v>
      </c>
      <c r="H168" s="178">
        <v>2541</v>
      </c>
      <c r="I168" s="178">
        <v>2829</v>
      </c>
    </row>
    <row r="169" spans="1:9">
      <c r="A169" s="179" t="s">
        <v>528</v>
      </c>
      <c r="B169" s="179" t="s">
        <v>517</v>
      </c>
      <c r="C169" s="186">
        <v>38667</v>
      </c>
      <c r="D169" s="188">
        <f t="shared" si="5"/>
        <v>2005</v>
      </c>
      <c r="E169" s="183" t="s">
        <v>532</v>
      </c>
      <c r="F169" s="178">
        <v>200</v>
      </c>
      <c r="G169" s="178">
        <v>3756</v>
      </c>
      <c r="H169" s="178">
        <v>1694</v>
      </c>
      <c r="I169" s="178">
        <v>2062</v>
      </c>
    </row>
    <row r="170" spans="1:9">
      <c r="A170" s="179" t="s">
        <v>429</v>
      </c>
      <c r="B170" s="179" t="s">
        <v>517</v>
      </c>
      <c r="C170" s="186">
        <v>38668</v>
      </c>
      <c r="D170" s="188">
        <f t="shared" si="5"/>
        <v>2005</v>
      </c>
      <c r="E170" s="183" t="s">
        <v>530</v>
      </c>
      <c r="F170" s="178">
        <v>900</v>
      </c>
      <c r="G170" s="178">
        <v>18072</v>
      </c>
      <c r="H170" s="178">
        <v>7623</v>
      </c>
      <c r="I170" s="178">
        <v>10449</v>
      </c>
    </row>
    <row r="171" spans="1:9">
      <c r="A171" s="179" t="s">
        <v>528</v>
      </c>
      <c r="B171" s="179" t="s">
        <v>518</v>
      </c>
      <c r="C171" s="186">
        <v>38671</v>
      </c>
      <c r="D171" s="188">
        <f t="shared" si="5"/>
        <v>2005</v>
      </c>
      <c r="E171" s="183" t="s">
        <v>532</v>
      </c>
      <c r="F171" s="178">
        <v>1000</v>
      </c>
      <c r="G171" s="178">
        <v>23810</v>
      </c>
      <c r="H171" s="178">
        <v>10220</v>
      </c>
      <c r="I171" s="178">
        <v>13590</v>
      </c>
    </row>
    <row r="172" spans="1:9">
      <c r="A172" s="179" t="s">
        <v>528</v>
      </c>
      <c r="B172" s="179" t="s">
        <v>517</v>
      </c>
      <c r="C172" s="186">
        <v>38674</v>
      </c>
      <c r="D172" s="188">
        <f t="shared" si="5"/>
        <v>2005</v>
      </c>
      <c r="E172" s="183" t="s">
        <v>532</v>
      </c>
      <c r="F172" s="178">
        <v>900</v>
      </c>
      <c r="G172" s="178">
        <v>17883</v>
      </c>
      <c r="H172" s="178">
        <v>7623</v>
      </c>
      <c r="I172" s="178">
        <v>10260</v>
      </c>
    </row>
    <row r="173" spans="1:9">
      <c r="A173" s="179" t="s">
        <v>429</v>
      </c>
      <c r="B173" s="179" t="s">
        <v>517</v>
      </c>
      <c r="C173" s="186">
        <v>38675</v>
      </c>
      <c r="D173" s="188">
        <f t="shared" si="5"/>
        <v>2005</v>
      </c>
      <c r="E173" s="183" t="s">
        <v>529</v>
      </c>
      <c r="F173" s="178">
        <v>100</v>
      </c>
      <c r="G173" s="178">
        <v>1877</v>
      </c>
      <c r="H173" s="178">
        <v>847</v>
      </c>
      <c r="I173" s="178">
        <v>1030</v>
      </c>
    </row>
    <row r="174" spans="1:9">
      <c r="A174" s="179" t="s">
        <v>429</v>
      </c>
      <c r="B174" s="179" t="s">
        <v>517</v>
      </c>
      <c r="C174" s="186">
        <v>38675</v>
      </c>
      <c r="D174" s="188">
        <f t="shared" si="5"/>
        <v>2005</v>
      </c>
      <c r="E174" s="183" t="s">
        <v>529</v>
      </c>
      <c r="F174" s="178">
        <v>100</v>
      </c>
      <c r="G174" s="178">
        <v>1836</v>
      </c>
      <c r="H174" s="178">
        <v>847</v>
      </c>
      <c r="I174" s="178">
        <v>989</v>
      </c>
    </row>
    <row r="175" spans="1:9">
      <c r="A175" s="179" t="s">
        <v>528</v>
      </c>
      <c r="B175" s="179" t="s">
        <v>516</v>
      </c>
      <c r="C175" s="186">
        <v>38677</v>
      </c>
      <c r="D175" s="188">
        <f t="shared" si="5"/>
        <v>2005</v>
      </c>
      <c r="E175" s="183" t="s">
        <v>531</v>
      </c>
      <c r="F175" s="178">
        <v>500</v>
      </c>
      <c r="G175" s="178">
        <v>11250</v>
      </c>
      <c r="H175" s="178">
        <v>4920</v>
      </c>
      <c r="I175" s="178">
        <v>6330</v>
      </c>
    </row>
    <row r="176" spans="1:9">
      <c r="A176" s="179" t="s">
        <v>429</v>
      </c>
      <c r="B176" s="179" t="s">
        <v>518</v>
      </c>
      <c r="C176" s="186">
        <v>38682</v>
      </c>
      <c r="D176" s="188">
        <f t="shared" si="5"/>
        <v>2005</v>
      </c>
      <c r="E176" s="183" t="s">
        <v>523</v>
      </c>
      <c r="F176" s="178">
        <v>600</v>
      </c>
      <c r="G176" s="178">
        <v>12984</v>
      </c>
      <c r="H176" s="178">
        <v>6132</v>
      </c>
      <c r="I176" s="178">
        <v>6852</v>
      </c>
    </row>
    <row r="177" spans="1:9">
      <c r="A177" s="179" t="s">
        <v>429</v>
      </c>
      <c r="B177" s="179" t="s">
        <v>518</v>
      </c>
      <c r="C177" s="186">
        <v>38684</v>
      </c>
      <c r="D177" s="188">
        <f t="shared" si="5"/>
        <v>2005</v>
      </c>
      <c r="E177" s="183" t="s">
        <v>530</v>
      </c>
      <c r="F177" s="178">
        <v>800</v>
      </c>
      <c r="G177" s="178">
        <v>18208</v>
      </c>
      <c r="H177" s="178">
        <v>8176</v>
      </c>
      <c r="I177" s="178">
        <v>10032</v>
      </c>
    </row>
    <row r="178" spans="1:9">
      <c r="A178" s="179" t="s">
        <v>528</v>
      </c>
      <c r="B178" s="179" t="s">
        <v>516</v>
      </c>
      <c r="C178" s="186">
        <v>38687</v>
      </c>
      <c r="D178" s="188">
        <f t="shared" si="5"/>
        <v>2005</v>
      </c>
      <c r="E178" s="183" t="s">
        <v>529</v>
      </c>
      <c r="F178" s="178">
        <v>100</v>
      </c>
      <c r="G178" s="178">
        <v>2221</v>
      </c>
      <c r="H178" s="178">
        <v>984</v>
      </c>
      <c r="I178" s="178">
        <v>1237</v>
      </c>
    </row>
    <row r="179" spans="1:9">
      <c r="A179" s="179" t="s">
        <v>429</v>
      </c>
      <c r="B179" s="179" t="s">
        <v>517</v>
      </c>
      <c r="C179" s="186">
        <v>38688</v>
      </c>
      <c r="D179" s="188">
        <f t="shared" si="5"/>
        <v>2005</v>
      </c>
      <c r="E179" s="183" t="s">
        <v>531</v>
      </c>
      <c r="F179" s="178">
        <v>600</v>
      </c>
      <c r="G179" s="178">
        <v>12330</v>
      </c>
      <c r="H179" s="178">
        <v>5082</v>
      </c>
      <c r="I179" s="178">
        <v>7248</v>
      </c>
    </row>
    <row r="180" spans="1:9">
      <c r="A180" s="179" t="s">
        <v>528</v>
      </c>
      <c r="B180" s="179" t="s">
        <v>518</v>
      </c>
      <c r="C180" s="186">
        <v>38688</v>
      </c>
      <c r="D180" s="188">
        <f t="shared" si="5"/>
        <v>2005</v>
      </c>
      <c r="E180" s="183" t="s">
        <v>523</v>
      </c>
      <c r="F180" s="178">
        <v>900</v>
      </c>
      <c r="G180" s="178">
        <v>21960</v>
      </c>
      <c r="H180" s="178">
        <v>9198</v>
      </c>
      <c r="I180" s="178">
        <v>12762</v>
      </c>
    </row>
    <row r="181" spans="1:9">
      <c r="A181" s="179" t="s">
        <v>429</v>
      </c>
      <c r="B181" s="179" t="s">
        <v>516</v>
      </c>
      <c r="C181" s="186">
        <v>38690</v>
      </c>
      <c r="D181" s="188">
        <f t="shared" si="5"/>
        <v>2005</v>
      </c>
      <c r="E181" s="183" t="s">
        <v>529</v>
      </c>
      <c r="F181" s="178">
        <v>600</v>
      </c>
      <c r="G181" s="178">
        <v>13566</v>
      </c>
      <c r="H181" s="178">
        <v>5904</v>
      </c>
      <c r="I181" s="178">
        <v>7662</v>
      </c>
    </row>
    <row r="182" spans="1:9">
      <c r="A182" s="179" t="s">
        <v>528</v>
      </c>
      <c r="B182" s="179" t="s">
        <v>517</v>
      </c>
      <c r="C182" s="186">
        <v>38690</v>
      </c>
      <c r="D182" s="188">
        <f t="shared" si="5"/>
        <v>2005</v>
      </c>
      <c r="E182" s="183" t="s">
        <v>533</v>
      </c>
      <c r="F182" s="178">
        <v>900</v>
      </c>
      <c r="G182" s="178">
        <v>15363</v>
      </c>
      <c r="H182" s="178">
        <v>7623</v>
      </c>
      <c r="I182" s="178">
        <v>7740</v>
      </c>
    </row>
    <row r="183" spans="1:9">
      <c r="A183" s="179" t="s">
        <v>528</v>
      </c>
      <c r="B183" s="179" t="s">
        <v>518</v>
      </c>
      <c r="C183" s="186">
        <v>38690</v>
      </c>
      <c r="D183" s="188">
        <f t="shared" si="5"/>
        <v>2005</v>
      </c>
      <c r="E183" s="183" t="s">
        <v>532</v>
      </c>
      <c r="F183" s="178">
        <v>500</v>
      </c>
      <c r="G183" s="178">
        <v>12625</v>
      </c>
      <c r="H183" s="178">
        <v>5110</v>
      </c>
      <c r="I183" s="178">
        <v>7515</v>
      </c>
    </row>
    <row r="184" spans="1:9">
      <c r="A184" s="179" t="s">
        <v>528</v>
      </c>
      <c r="B184" s="179" t="s">
        <v>518</v>
      </c>
      <c r="C184" s="186">
        <v>38692</v>
      </c>
      <c r="D184" s="188">
        <f t="shared" si="5"/>
        <v>2005</v>
      </c>
      <c r="E184" s="183" t="s">
        <v>532</v>
      </c>
      <c r="F184" s="178">
        <v>900</v>
      </c>
      <c r="G184" s="178">
        <v>21888</v>
      </c>
      <c r="H184" s="178">
        <v>9198</v>
      </c>
      <c r="I184" s="178">
        <v>12690</v>
      </c>
    </row>
    <row r="185" spans="1:9">
      <c r="A185" s="179" t="s">
        <v>429</v>
      </c>
      <c r="B185" s="179" t="s">
        <v>518</v>
      </c>
      <c r="C185" s="186">
        <v>38692</v>
      </c>
      <c r="D185" s="188">
        <f t="shared" si="5"/>
        <v>2005</v>
      </c>
      <c r="E185" s="183" t="s">
        <v>532</v>
      </c>
      <c r="F185" s="178">
        <v>800</v>
      </c>
      <c r="G185" s="178">
        <v>19152</v>
      </c>
      <c r="H185" s="178">
        <v>8176</v>
      </c>
      <c r="I185" s="178">
        <v>10976</v>
      </c>
    </row>
    <row r="186" spans="1:9">
      <c r="A186" s="179" t="s">
        <v>528</v>
      </c>
      <c r="B186" s="179" t="s">
        <v>517</v>
      </c>
      <c r="C186" s="186">
        <v>38697</v>
      </c>
      <c r="D186" s="188">
        <f t="shared" si="5"/>
        <v>2005</v>
      </c>
      <c r="E186" s="183" t="s">
        <v>533</v>
      </c>
      <c r="F186" s="178">
        <v>1000</v>
      </c>
      <c r="G186" s="178">
        <v>17410</v>
      </c>
      <c r="H186" s="178">
        <v>8470</v>
      </c>
      <c r="I186" s="178">
        <v>8940</v>
      </c>
    </row>
    <row r="187" spans="1:9">
      <c r="A187" s="179" t="s">
        <v>528</v>
      </c>
      <c r="B187" s="179" t="s">
        <v>518</v>
      </c>
      <c r="C187" s="186">
        <v>38698</v>
      </c>
      <c r="D187" s="188">
        <f t="shared" si="5"/>
        <v>2005</v>
      </c>
      <c r="E187" s="183" t="s">
        <v>529</v>
      </c>
      <c r="F187" s="178">
        <v>1000</v>
      </c>
      <c r="G187" s="178">
        <v>23090</v>
      </c>
      <c r="H187" s="178">
        <v>10220</v>
      </c>
      <c r="I187" s="178">
        <v>12870</v>
      </c>
    </row>
    <row r="188" spans="1:9">
      <c r="A188" s="179" t="s">
        <v>423</v>
      </c>
      <c r="B188" s="179" t="s">
        <v>518</v>
      </c>
      <c r="C188" s="186">
        <v>38700</v>
      </c>
      <c r="D188" s="188">
        <f t="shared" si="5"/>
        <v>2005</v>
      </c>
      <c r="E188" s="183" t="s">
        <v>539</v>
      </c>
      <c r="F188" s="178">
        <v>200</v>
      </c>
      <c r="G188" s="178">
        <v>4846</v>
      </c>
      <c r="H188" s="178">
        <v>2044</v>
      </c>
      <c r="I188" s="178">
        <v>2802</v>
      </c>
    </row>
    <row r="189" spans="1:9">
      <c r="A189" s="179" t="s">
        <v>429</v>
      </c>
      <c r="B189" s="179" t="s">
        <v>518</v>
      </c>
      <c r="C189" s="186">
        <v>38705</v>
      </c>
      <c r="D189" s="188">
        <f t="shared" si="5"/>
        <v>2005</v>
      </c>
      <c r="E189" s="183" t="s">
        <v>529</v>
      </c>
      <c r="F189" s="178">
        <v>100</v>
      </c>
      <c r="G189" s="178">
        <v>2487</v>
      </c>
      <c r="H189" s="178">
        <v>1022</v>
      </c>
      <c r="I189" s="178">
        <v>1465</v>
      </c>
    </row>
    <row r="190" spans="1:9">
      <c r="A190" s="179" t="s">
        <v>528</v>
      </c>
      <c r="B190" s="179" t="s">
        <v>517</v>
      </c>
      <c r="C190" s="186">
        <v>38707</v>
      </c>
      <c r="D190" s="188">
        <f t="shared" si="5"/>
        <v>2005</v>
      </c>
      <c r="E190" s="183" t="s">
        <v>530</v>
      </c>
      <c r="F190" s="178">
        <v>800</v>
      </c>
      <c r="G190" s="178">
        <v>14136</v>
      </c>
      <c r="H190" s="178">
        <v>6776</v>
      </c>
      <c r="I190" s="178">
        <v>7360</v>
      </c>
    </row>
    <row r="191" spans="1:9">
      <c r="A191" s="179" t="s">
        <v>423</v>
      </c>
      <c r="B191" s="179" t="s">
        <v>517</v>
      </c>
      <c r="C191" s="186">
        <v>38707</v>
      </c>
      <c r="D191" s="188">
        <f t="shared" si="5"/>
        <v>2005</v>
      </c>
      <c r="E191" s="183" t="s">
        <v>542</v>
      </c>
      <c r="F191" s="178">
        <v>200</v>
      </c>
      <c r="G191" s="178">
        <v>4158</v>
      </c>
      <c r="H191" s="178">
        <v>1694</v>
      </c>
      <c r="I191" s="178">
        <v>2464</v>
      </c>
    </row>
    <row r="192" spans="1:9">
      <c r="A192" s="179" t="s">
        <v>429</v>
      </c>
      <c r="B192" s="179" t="s">
        <v>516</v>
      </c>
      <c r="C192" s="186">
        <v>38708</v>
      </c>
      <c r="D192" s="188">
        <f t="shared" si="5"/>
        <v>2005</v>
      </c>
      <c r="E192" s="183" t="s">
        <v>548</v>
      </c>
      <c r="F192" s="178">
        <v>700</v>
      </c>
      <c r="G192" s="178">
        <v>14497</v>
      </c>
      <c r="H192" s="178">
        <v>6888</v>
      </c>
      <c r="I192" s="178">
        <v>7609</v>
      </c>
    </row>
    <row r="193" spans="1:9">
      <c r="A193" s="179" t="s">
        <v>429</v>
      </c>
      <c r="B193" s="179" t="s">
        <v>516</v>
      </c>
      <c r="C193" s="186">
        <v>38712</v>
      </c>
      <c r="D193" s="188">
        <f t="shared" si="5"/>
        <v>2005</v>
      </c>
      <c r="E193" s="183" t="s">
        <v>529</v>
      </c>
      <c r="F193" s="178">
        <v>100</v>
      </c>
      <c r="G193" s="178">
        <v>2457</v>
      </c>
      <c r="H193" s="178">
        <v>984</v>
      </c>
      <c r="I193" s="178">
        <v>1473</v>
      </c>
    </row>
    <row r="194" spans="1:9">
      <c r="A194" s="179" t="s">
        <v>423</v>
      </c>
      <c r="B194" s="179" t="s">
        <v>517</v>
      </c>
      <c r="C194" s="186">
        <v>38712</v>
      </c>
      <c r="D194" s="188">
        <f t="shared" ref="D194:D257" si="6">YEAR(C194)</f>
        <v>2005</v>
      </c>
      <c r="E194" s="183" t="s">
        <v>529</v>
      </c>
      <c r="F194" s="178">
        <v>300</v>
      </c>
      <c r="G194" s="178">
        <v>5700</v>
      </c>
      <c r="H194" s="178">
        <v>2541</v>
      </c>
      <c r="I194" s="178">
        <v>3159</v>
      </c>
    </row>
    <row r="195" spans="1:9">
      <c r="A195" s="179" t="s">
        <v>423</v>
      </c>
      <c r="B195" s="179" t="s">
        <v>517</v>
      </c>
      <c r="C195" s="186">
        <v>38712</v>
      </c>
      <c r="D195" s="188">
        <f t="shared" si="6"/>
        <v>2005</v>
      </c>
      <c r="E195" s="183" t="s">
        <v>532</v>
      </c>
      <c r="F195" s="178">
        <v>400</v>
      </c>
      <c r="G195" s="178">
        <v>7376</v>
      </c>
      <c r="H195" s="178">
        <v>3388</v>
      </c>
      <c r="I195" s="178">
        <v>3988</v>
      </c>
    </row>
    <row r="196" spans="1:9">
      <c r="A196" s="179" t="s">
        <v>423</v>
      </c>
      <c r="B196" s="179" t="s">
        <v>516</v>
      </c>
      <c r="C196" s="186">
        <v>38714</v>
      </c>
      <c r="D196" s="188">
        <f t="shared" si="6"/>
        <v>2005</v>
      </c>
      <c r="E196" s="183" t="s">
        <v>534</v>
      </c>
      <c r="F196" s="178">
        <v>600</v>
      </c>
      <c r="G196" s="178">
        <v>12030</v>
      </c>
      <c r="H196" s="178">
        <v>5904</v>
      </c>
      <c r="I196" s="178">
        <v>6126</v>
      </c>
    </row>
    <row r="197" spans="1:9">
      <c r="A197" s="179" t="s">
        <v>429</v>
      </c>
      <c r="B197" s="179" t="s">
        <v>516</v>
      </c>
      <c r="C197" s="186">
        <v>38715</v>
      </c>
      <c r="D197" s="188">
        <f t="shared" si="6"/>
        <v>2005</v>
      </c>
      <c r="E197" s="183" t="s">
        <v>546</v>
      </c>
      <c r="F197" s="178">
        <v>100</v>
      </c>
      <c r="G197" s="178">
        <v>2358</v>
      </c>
      <c r="H197" s="178">
        <v>984</v>
      </c>
      <c r="I197" s="178">
        <v>1374</v>
      </c>
    </row>
    <row r="198" spans="1:9">
      <c r="A198" s="179" t="s">
        <v>429</v>
      </c>
      <c r="B198" s="179" t="s">
        <v>518</v>
      </c>
      <c r="C198" s="186">
        <v>38716</v>
      </c>
      <c r="D198" s="188">
        <f t="shared" si="6"/>
        <v>2005</v>
      </c>
      <c r="E198" s="183" t="s">
        <v>534</v>
      </c>
      <c r="F198" s="178">
        <v>700</v>
      </c>
      <c r="G198" s="178">
        <v>14469</v>
      </c>
      <c r="H198" s="178">
        <v>7154</v>
      </c>
      <c r="I198" s="178">
        <v>7315</v>
      </c>
    </row>
    <row r="199" spans="1:9">
      <c r="A199" s="179" t="s">
        <v>429</v>
      </c>
      <c r="B199" s="179" t="s">
        <v>517</v>
      </c>
      <c r="C199" s="186">
        <v>38721</v>
      </c>
      <c r="D199" s="188">
        <f t="shared" si="6"/>
        <v>2006</v>
      </c>
      <c r="E199" s="183" t="s">
        <v>531</v>
      </c>
      <c r="F199" s="178">
        <v>300</v>
      </c>
      <c r="G199" s="178">
        <v>5439</v>
      </c>
      <c r="H199" s="178">
        <v>2541</v>
      </c>
      <c r="I199" s="178">
        <v>2898</v>
      </c>
    </row>
    <row r="200" spans="1:9">
      <c r="A200" s="179" t="s">
        <v>429</v>
      </c>
      <c r="B200" s="179" t="s">
        <v>518</v>
      </c>
      <c r="C200" s="186">
        <v>38721</v>
      </c>
      <c r="D200" s="188">
        <f t="shared" si="6"/>
        <v>2006</v>
      </c>
      <c r="E200" s="183" t="s">
        <v>534</v>
      </c>
      <c r="F200" s="178">
        <v>400</v>
      </c>
      <c r="G200" s="178">
        <v>8560</v>
      </c>
      <c r="H200" s="178">
        <v>4088</v>
      </c>
      <c r="I200" s="178">
        <v>4472</v>
      </c>
    </row>
    <row r="201" spans="1:9">
      <c r="A201" s="179" t="s">
        <v>528</v>
      </c>
      <c r="B201" s="179" t="s">
        <v>517</v>
      </c>
      <c r="C201" s="186">
        <v>38725</v>
      </c>
      <c r="D201" s="188">
        <f t="shared" si="6"/>
        <v>2006</v>
      </c>
      <c r="E201" s="183" t="s">
        <v>530</v>
      </c>
      <c r="F201" s="178">
        <v>600</v>
      </c>
      <c r="G201" s="178">
        <v>10602</v>
      </c>
      <c r="H201" s="178">
        <v>5082</v>
      </c>
      <c r="I201" s="178">
        <v>5520</v>
      </c>
    </row>
    <row r="202" spans="1:9">
      <c r="A202" s="179" t="s">
        <v>528</v>
      </c>
      <c r="B202" s="179" t="s">
        <v>518</v>
      </c>
      <c r="C202" s="186">
        <v>38725</v>
      </c>
      <c r="D202" s="188">
        <f t="shared" si="6"/>
        <v>2006</v>
      </c>
      <c r="E202" s="183" t="s">
        <v>530</v>
      </c>
      <c r="F202" s="178">
        <v>300</v>
      </c>
      <c r="G202" s="178">
        <v>6789</v>
      </c>
      <c r="H202" s="178">
        <v>3066</v>
      </c>
      <c r="I202" s="178">
        <v>3723</v>
      </c>
    </row>
    <row r="203" spans="1:9">
      <c r="A203" s="179" t="s">
        <v>423</v>
      </c>
      <c r="B203" s="179" t="s">
        <v>518</v>
      </c>
      <c r="C203" s="186">
        <v>38729</v>
      </c>
      <c r="D203" s="188">
        <f t="shared" si="6"/>
        <v>2006</v>
      </c>
      <c r="E203" s="183" t="s">
        <v>541</v>
      </c>
      <c r="F203" s="178">
        <v>800</v>
      </c>
      <c r="G203" s="178">
        <v>19544</v>
      </c>
      <c r="H203" s="178">
        <v>8176</v>
      </c>
      <c r="I203" s="178">
        <v>11368</v>
      </c>
    </row>
    <row r="204" spans="1:9">
      <c r="A204" s="179" t="s">
        <v>423</v>
      </c>
      <c r="B204" s="179" t="s">
        <v>517</v>
      </c>
      <c r="C204" s="186">
        <v>38737</v>
      </c>
      <c r="D204" s="188">
        <f t="shared" si="6"/>
        <v>2006</v>
      </c>
      <c r="E204" s="183" t="s">
        <v>529</v>
      </c>
      <c r="F204" s="178">
        <v>200</v>
      </c>
      <c r="G204" s="178">
        <v>3856</v>
      </c>
      <c r="H204" s="178">
        <v>1694</v>
      </c>
      <c r="I204" s="178">
        <v>2162</v>
      </c>
    </row>
    <row r="205" spans="1:9">
      <c r="A205" s="179" t="s">
        <v>429</v>
      </c>
      <c r="B205" s="179" t="s">
        <v>518</v>
      </c>
      <c r="C205" s="186">
        <v>38738</v>
      </c>
      <c r="D205" s="188">
        <f t="shared" si="6"/>
        <v>2006</v>
      </c>
      <c r="E205" s="183" t="s">
        <v>523</v>
      </c>
      <c r="F205" s="178">
        <v>400</v>
      </c>
      <c r="G205" s="178">
        <v>8620</v>
      </c>
      <c r="H205" s="178">
        <v>4088</v>
      </c>
      <c r="I205" s="178">
        <v>4532</v>
      </c>
    </row>
    <row r="206" spans="1:9">
      <c r="A206" s="179" t="s">
        <v>423</v>
      </c>
      <c r="B206" s="179" t="s">
        <v>516</v>
      </c>
      <c r="C206" s="186">
        <v>38739</v>
      </c>
      <c r="D206" s="188">
        <f t="shared" si="6"/>
        <v>2006</v>
      </c>
      <c r="E206" s="183" t="s">
        <v>524</v>
      </c>
      <c r="F206" s="178">
        <v>600</v>
      </c>
      <c r="G206" s="178">
        <v>13866</v>
      </c>
      <c r="H206" s="178">
        <v>5904</v>
      </c>
      <c r="I206" s="178">
        <v>7962</v>
      </c>
    </row>
    <row r="207" spans="1:9">
      <c r="A207" s="179" t="s">
        <v>423</v>
      </c>
      <c r="B207" s="179" t="s">
        <v>516</v>
      </c>
      <c r="C207" s="186">
        <v>38739</v>
      </c>
      <c r="D207" s="188">
        <f t="shared" si="6"/>
        <v>2006</v>
      </c>
      <c r="E207" s="183" t="s">
        <v>524</v>
      </c>
      <c r="F207" s="178">
        <v>200</v>
      </c>
      <c r="G207" s="178">
        <v>4378</v>
      </c>
      <c r="H207" s="178">
        <v>1968</v>
      </c>
      <c r="I207" s="178">
        <v>2410</v>
      </c>
    </row>
    <row r="208" spans="1:9">
      <c r="A208" s="179" t="s">
        <v>429</v>
      </c>
      <c r="B208" s="179" t="s">
        <v>518</v>
      </c>
      <c r="C208" s="186">
        <v>38742</v>
      </c>
      <c r="D208" s="188">
        <f t="shared" si="6"/>
        <v>2006</v>
      </c>
      <c r="E208" s="183" t="s">
        <v>530</v>
      </c>
      <c r="F208" s="178">
        <v>800</v>
      </c>
      <c r="G208" s="178">
        <v>20008</v>
      </c>
      <c r="H208" s="178">
        <v>8176</v>
      </c>
      <c r="I208" s="178">
        <v>11832</v>
      </c>
    </row>
    <row r="209" spans="1:9">
      <c r="A209" s="179" t="s">
        <v>429</v>
      </c>
      <c r="B209" s="179" t="s">
        <v>516</v>
      </c>
      <c r="C209" s="186">
        <v>38743</v>
      </c>
      <c r="D209" s="188">
        <f t="shared" si="6"/>
        <v>2006</v>
      </c>
      <c r="E209" s="183" t="s">
        <v>529</v>
      </c>
      <c r="F209" s="178">
        <v>200</v>
      </c>
      <c r="G209" s="178">
        <v>4526</v>
      </c>
      <c r="H209" s="178">
        <v>1968</v>
      </c>
      <c r="I209" s="178">
        <v>2558</v>
      </c>
    </row>
    <row r="210" spans="1:9">
      <c r="A210" s="179" t="s">
        <v>528</v>
      </c>
      <c r="B210" s="179" t="s">
        <v>518</v>
      </c>
      <c r="C210" s="186">
        <v>38745</v>
      </c>
      <c r="D210" s="188">
        <f t="shared" si="6"/>
        <v>2006</v>
      </c>
      <c r="E210" s="183" t="s">
        <v>531</v>
      </c>
      <c r="F210" s="178">
        <v>900</v>
      </c>
      <c r="G210" s="178">
        <v>21762</v>
      </c>
      <c r="H210" s="178">
        <v>9198</v>
      </c>
      <c r="I210" s="178">
        <v>12564</v>
      </c>
    </row>
    <row r="211" spans="1:9">
      <c r="A211" s="179" t="s">
        <v>429</v>
      </c>
      <c r="B211" s="179" t="s">
        <v>516</v>
      </c>
      <c r="C211" s="186">
        <v>38746</v>
      </c>
      <c r="D211" s="188">
        <f t="shared" si="6"/>
        <v>2006</v>
      </c>
      <c r="E211" s="183" t="s">
        <v>532</v>
      </c>
      <c r="F211" s="178">
        <v>800</v>
      </c>
      <c r="G211" s="178">
        <v>19280</v>
      </c>
      <c r="H211" s="178">
        <v>7872</v>
      </c>
      <c r="I211" s="178">
        <v>11408</v>
      </c>
    </row>
    <row r="212" spans="1:9">
      <c r="A212" s="179" t="s">
        <v>528</v>
      </c>
      <c r="B212" s="179" t="s">
        <v>516</v>
      </c>
      <c r="C212" s="186">
        <v>38748</v>
      </c>
      <c r="D212" s="188">
        <f t="shared" si="6"/>
        <v>2006</v>
      </c>
      <c r="E212" s="183" t="s">
        <v>534</v>
      </c>
      <c r="F212" s="178">
        <v>500</v>
      </c>
      <c r="G212" s="178">
        <v>11545</v>
      </c>
      <c r="H212" s="178">
        <v>4920</v>
      </c>
      <c r="I212" s="178">
        <v>6625</v>
      </c>
    </row>
    <row r="213" spans="1:9">
      <c r="A213" s="179" t="s">
        <v>423</v>
      </c>
      <c r="B213" s="179" t="s">
        <v>518</v>
      </c>
      <c r="C213" s="186">
        <v>38750</v>
      </c>
      <c r="D213" s="188">
        <f t="shared" si="6"/>
        <v>2006</v>
      </c>
      <c r="E213" s="183" t="s">
        <v>537</v>
      </c>
      <c r="F213" s="178">
        <v>400</v>
      </c>
      <c r="G213" s="178">
        <v>9240</v>
      </c>
      <c r="H213" s="178">
        <v>4088</v>
      </c>
      <c r="I213" s="178">
        <v>5152</v>
      </c>
    </row>
    <row r="214" spans="1:9">
      <c r="A214" s="179" t="s">
        <v>528</v>
      </c>
      <c r="B214" s="179" t="s">
        <v>518</v>
      </c>
      <c r="C214" s="186">
        <v>38751</v>
      </c>
      <c r="D214" s="188">
        <f t="shared" si="6"/>
        <v>2006</v>
      </c>
      <c r="E214" s="183" t="s">
        <v>531</v>
      </c>
      <c r="F214" s="178">
        <v>100</v>
      </c>
      <c r="G214" s="178">
        <v>2149</v>
      </c>
      <c r="H214" s="178">
        <v>1022</v>
      </c>
      <c r="I214" s="178">
        <v>1127</v>
      </c>
    </row>
    <row r="215" spans="1:9">
      <c r="A215" s="179" t="s">
        <v>429</v>
      </c>
      <c r="B215" s="179" t="s">
        <v>516</v>
      </c>
      <c r="C215" s="186">
        <v>38751</v>
      </c>
      <c r="D215" s="188">
        <f t="shared" si="6"/>
        <v>2006</v>
      </c>
      <c r="E215" s="183" t="s">
        <v>531</v>
      </c>
      <c r="F215" s="178">
        <v>500</v>
      </c>
      <c r="G215" s="178">
        <v>12095</v>
      </c>
      <c r="H215" s="178">
        <v>4920</v>
      </c>
      <c r="I215" s="178">
        <v>7175</v>
      </c>
    </row>
    <row r="216" spans="1:9">
      <c r="A216" s="179" t="s">
        <v>528</v>
      </c>
      <c r="B216" s="179" t="s">
        <v>517</v>
      </c>
      <c r="C216" s="186">
        <v>38751</v>
      </c>
      <c r="D216" s="188">
        <f t="shared" si="6"/>
        <v>2006</v>
      </c>
      <c r="E216" s="183" t="s">
        <v>529</v>
      </c>
      <c r="F216" s="178">
        <v>900</v>
      </c>
      <c r="G216" s="178">
        <v>16209</v>
      </c>
      <c r="H216" s="178">
        <v>7623</v>
      </c>
      <c r="I216" s="178">
        <v>8586</v>
      </c>
    </row>
    <row r="217" spans="1:9">
      <c r="A217" s="179" t="s">
        <v>423</v>
      </c>
      <c r="B217" s="179" t="s">
        <v>518</v>
      </c>
      <c r="C217" s="186">
        <v>38751</v>
      </c>
      <c r="D217" s="188">
        <f t="shared" si="6"/>
        <v>2006</v>
      </c>
      <c r="E217" s="183" t="s">
        <v>546</v>
      </c>
      <c r="F217" s="178">
        <v>800</v>
      </c>
      <c r="G217" s="178">
        <v>17856</v>
      </c>
      <c r="H217" s="178">
        <v>8176</v>
      </c>
      <c r="I217" s="178">
        <v>9680</v>
      </c>
    </row>
    <row r="218" spans="1:9">
      <c r="A218" s="179" t="s">
        <v>528</v>
      </c>
      <c r="B218" s="179" t="s">
        <v>518</v>
      </c>
      <c r="C218" s="186">
        <v>38753</v>
      </c>
      <c r="D218" s="188">
        <f t="shared" si="6"/>
        <v>2006</v>
      </c>
      <c r="E218" s="183" t="s">
        <v>533</v>
      </c>
      <c r="F218" s="178">
        <v>900</v>
      </c>
      <c r="G218" s="178">
        <v>19584</v>
      </c>
      <c r="H218" s="178">
        <v>9198</v>
      </c>
      <c r="I218" s="178">
        <v>10386</v>
      </c>
    </row>
    <row r="219" spans="1:9">
      <c r="A219" s="179" t="s">
        <v>423</v>
      </c>
      <c r="B219" s="179" t="s">
        <v>516</v>
      </c>
      <c r="C219" s="186">
        <v>38757</v>
      </c>
      <c r="D219" s="188">
        <f t="shared" si="6"/>
        <v>2006</v>
      </c>
      <c r="E219" s="183" t="s">
        <v>533</v>
      </c>
      <c r="F219" s="178">
        <v>600</v>
      </c>
      <c r="G219" s="178">
        <v>13728</v>
      </c>
      <c r="H219" s="178">
        <v>5904</v>
      </c>
      <c r="I219" s="178">
        <v>7824</v>
      </c>
    </row>
    <row r="220" spans="1:9">
      <c r="A220" s="179" t="s">
        <v>429</v>
      </c>
      <c r="B220" s="179" t="s">
        <v>517</v>
      </c>
      <c r="C220" s="186">
        <v>38759</v>
      </c>
      <c r="D220" s="188">
        <f t="shared" si="6"/>
        <v>2006</v>
      </c>
      <c r="E220" s="183" t="s">
        <v>534</v>
      </c>
      <c r="F220" s="178">
        <v>100</v>
      </c>
      <c r="G220" s="178">
        <v>2028</v>
      </c>
      <c r="H220" s="178">
        <v>847</v>
      </c>
      <c r="I220" s="178">
        <v>1181</v>
      </c>
    </row>
    <row r="221" spans="1:9">
      <c r="A221" s="179" t="s">
        <v>528</v>
      </c>
      <c r="B221" s="179" t="s">
        <v>516</v>
      </c>
      <c r="C221" s="186">
        <v>38760</v>
      </c>
      <c r="D221" s="188">
        <f t="shared" si="6"/>
        <v>2006</v>
      </c>
      <c r="E221" s="183" t="s">
        <v>526</v>
      </c>
      <c r="F221" s="178">
        <v>1000</v>
      </c>
      <c r="G221" s="178">
        <v>20950</v>
      </c>
      <c r="H221" s="178">
        <v>9840</v>
      </c>
      <c r="I221" s="178">
        <v>11110</v>
      </c>
    </row>
    <row r="222" spans="1:9">
      <c r="A222" s="179" t="s">
        <v>528</v>
      </c>
      <c r="B222" s="179" t="s">
        <v>518</v>
      </c>
      <c r="C222" s="186">
        <v>38761</v>
      </c>
      <c r="D222" s="188">
        <f t="shared" si="6"/>
        <v>2006</v>
      </c>
      <c r="E222" s="183" t="s">
        <v>533</v>
      </c>
      <c r="F222" s="178">
        <v>1000</v>
      </c>
      <c r="G222" s="178">
        <v>22530</v>
      </c>
      <c r="H222" s="178">
        <v>10220</v>
      </c>
      <c r="I222" s="178">
        <v>12310</v>
      </c>
    </row>
    <row r="223" spans="1:9">
      <c r="A223" s="179" t="s">
        <v>429</v>
      </c>
      <c r="B223" s="179" t="s">
        <v>517</v>
      </c>
      <c r="C223" s="186">
        <v>38767</v>
      </c>
      <c r="D223" s="188">
        <f t="shared" si="6"/>
        <v>2006</v>
      </c>
      <c r="E223" s="183" t="s">
        <v>549</v>
      </c>
      <c r="F223" s="178">
        <v>400</v>
      </c>
      <c r="G223" s="178">
        <v>8116</v>
      </c>
      <c r="H223" s="178">
        <v>3388</v>
      </c>
      <c r="I223" s="178">
        <v>4728</v>
      </c>
    </row>
    <row r="224" spans="1:9">
      <c r="A224" s="179" t="s">
        <v>423</v>
      </c>
      <c r="B224" s="179" t="s">
        <v>517</v>
      </c>
      <c r="C224" s="186">
        <v>38767</v>
      </c>
      <c r="D224" s="188">
        <f t="shared" si="6"/>
        <v>2006</v>
      </c>
      <c r="E224" s="183" t="s">
        <v>533</v>
      </c>
      <c r="F224" s="178">
        <v>600</v>
      </c>
      <c r="G224" s="178">
        <v>12684</v>
      </c>
      <c r="H224" s="178">
        <v>5082</v>
      </c>
      <c r="I224" s="178">
        <v>7602</v>
      </c>
    </row>
    <row r="225" spans="1:9">
      <c r="A225" s="179" t="s">
        <v>528</v>
      </c>
      <c r="B225" s="179" t="s">
        <v>517</v>
      </c>
      <c r="C225" s="186">
        <v>38768</v>
      </c>
      <c r="D225" s="188">
        <f t="shared" si="6"/>
        <v>2006</v>
      </c>
      <c r="E225" s="183" t="s">
        <v>530</v>
      </c>
      <c r="F225" s="178">
        <v>900</v>
      </c>
      <c r="G225" s="178">
        <v>17505</v>
      </c>
      <c r="H225" s="178">
        <v>7623</v>
      </c>
      <c r="I225" s="178">
        <v>9882</v>
      </c>
    </row>
    <row r="226" spans="1:9">
      <c r="A226" s="179" t="s">
        <v>528</v>
      </c>
      <c r="B226" s="179" t="s">
        <v>517</v>
      </c>
      <c r="C226" s="186">
        <v>38770</v>
      </c>
      <c r="D226" s="188">
        <f t="shared" si="6"/>
        <v>2006</v>
      </c>
      <c r="E226" s="183" t="s">
        <v>531</v>
      </c>
      <c r="F226" s="178">
        <v>1000</v>
      </c>
      <c r="G226" s="178">
        <v>21120</v>
      </c>
      <c r="H226" s="178">
        <v>8470</v>
      </c>
      <c r="I226" s="178">
        <v>12650</v>
      </c>
    </row>
    <row r="227" spans="1:9">
      <c r="A227" s="179" t="s">
        <v>423</v>
      </c>
      <c r="B227" s="179" t="s">
        <v>516</v>
      </c>
      <c r="C227" s="186">
        <v>38773</v>
      </c>
      <c r="D227" s="188">
        <f t="shared" si="6"/>
        <v>2006</v>
      </c>
      <c r="E227" s="183" t="s">
        <v>531</v>
      </c>
      <c r="F227" s="178">
        <v>300</v>
      </c>
      <c r="G227" s="178">
        <v>6735</v>
      </c>
      <c r="H227" s="178">
        <v>2952</v>
      </c>
      <c r="I227" s="178">
        <v>3783</v>
      </c>
    </row>
    <row r="228" spans="1:9">
      <c r="A228" s="179" t="s">
        <v>528</v>
      </c>
      <c r="B228" s="179" t="s">
        <v>518</v>
      </c>
      <c r="C228" s="186">
        <v>38774</v>
      </c>
      <c r="D228" s="188">
        <f t="shared" si="6"/>
        <v>2006</v>
      </c>
      <c r="E228" s="183" t="s">
        <v>523</v>
      </c>
      <c r="F228" s="178">
        <v>400</v>
      </c>
      <c r="G228" s="178">
        <v>9204</v>
      </c>
      <c r="H228" s="178">
        <v>4088</v>
      </c>
      <c r="I228" s="178">
        <v>5116</v>
      </c>
    </row>
    <row r="229" spans="1:9">
      <c r="A229" s="179" t="s">
        <v>528</v>
      </c>
      <c r="B229" s="179" t="s">
        <v>516</v>
      </c>
      <c r="C229" s="186">
        <v>38777</v>
      </c>
      <c r="D229" s="188">
        <f t="shared" si="6"/>
        <v>2006</v>
      </c>
      <c r="E229" s="183" t="s">
        <v>533</v>
      </c>
      <c r="F229" s="178">
        <v>500</v>
      </c>
      <c r="G229" s="178">
        <v>12270</v>
      </c>
      <c r="H229" s="178">
        <v>4920</v>
      </c>
      <c r="I229" s="178">
        <v>7350</v>
      </c>
    </row>
    <row r="230" spans="1:9">
      <c r="A230" s="179" t="s">
        <v>528</v>
      </c>
      <c r="B230" s="179" t="s">
        <v>518</v>
      </c>
      <c r="C230" s="186">
        <v>38781</v>
      </c>
      <c r="D230" s="188">
        <f t="shared" si="6"/>
        <v>2006</v>
      </c>
      <c r="E230" s="183" t="s">
        <v>525</v>
      </c>
      <c r="F230" s="178">
        <v>200</v>
      </c>
      <c r="G230" s="178">
        <v>4440</v>
      </c>
      <c r="H230" s="178">
        <v>2044</v>
      </c>
      <c r="I230" s="178">
        <v>2396</v>
      </c>
    </row>
    <row r="231" spans="1:9">
      <c r="A231" s="179" t="s">
        <v>423</v>
      </c>
      <c r="B231" s="179" t="s">
        <v>516</v>
      </c>
      <c r="C231" s="186">
        <v>38784</v>
      </c>
      <c r="D231" s="188">
        <f t="shared" si="6"/>
        <v>2006</v>
      </c>
      <c r="E231" s="183" t="s">
        <v>533</v>
      </c>
      <c r="F231" s="178">
        <v>1000</v>
      </c>
      <c r="G231" s="178">
        <v>23690</v>
      </c>
      <c r="H231" s="178">
        <v>9840</v>
      </c>
      <c r="I231" s="178">
        <v>13850</v>
      </c>
    </row>
    <row r="232" spans="1:9">
      <c r="A232" s="179" t="s">
        <v>528</v>
      </c>
      <c r="B232" s="179" t="s">
        <v>517</v>
      </c>
      <c r="C232" s="186">
        <v>38787</v>
      </c>
      <c r="D232" s="188">
        <f t="shared" si="6"/>
        <v>2006</v>
      </c>
      <c r="E232" s="183" t="s">
        <v>532</v>
      </c>
      <c r="F232" s="178">
        <v>800</v>
      </c>
      <c r="G232" s="178">
        <v>16696</v>
      </c>
      <c r="H232" s="178">
        <v>6776</v>
      </c>
      <c r="I232" s="178">
        <v>9920</v>
      </c>
    </row>
    <row r="233" spans="1:9">
      <c r="A233" s="179" t="s">
        <v>528</v>
      </c>
      <c r="B233" s="179" t="s">
        <v>516</v>
      </c>
      <c r="C233" s="186">
        <v>38792</v>
      </c>
      <c r="D233" s="188">
        <f t="shared" si="6"/>
        <v>2006</v>
      </c>
      <c r="E233" s="183" t="s">
        <v>533</v>
      </c>
      <c r="F233" s="178">
        <v>100</v>
      </c>
      <c r="G233" s="178">
        <v>2004</v>
      </c>
      <c r="H233" s="178">
        <v>984</v>
      </c>
      <c r="I233" s="178">
        <v>1020</v>
      </c>
    </row>
    <row r="234" spans="1:9">
      <c r="A234" s="179" t="s">
        <v>429</v>
      </c>
      <c r="B234" s="179" t="s">
        <v>517</v>
      </c>
      <c r="C234" s="186">
        <v>38794</v>
      </c>
      <c r="D234" s="188">
        <f t="shared" si="6"/>
        <v>2006</v>
      </c>
      <c r="E234" s="183" t="s">
        <v>531</v>
      </c>
      <c r="F234" s="178">
        <v>300</v>
      </c>
      <c r="G234" s="178">
        <v>5904</v>
      </c>
      <c r="H234" s="178">
        <v>2541</v>
      </c>
      <c r="I234" s="178">
        <v>3363</v>
      </c>
    </row>
    <row r="235" spans="1:9">
      <c r="A235" s="179" t="s">
        <v>423</v>
      </c>
      <c r="B235" s="179" t="s">
        <v>517</v>
      </c>
      <c r="C235" s="186">
        <v>38795</v>
      </c>
      <c r="D235" s="188">
        <f t="shared" si="6"/>
        <v>2006</v>
      </c>
      <c r="E235" s="183" t="s">
        <v>549</v>
      </c>
      <c r="F235" s="178">
        <v>1000</v>
      </c>
      <c r="G235" s="178">
        <v>18290</v>
      </c>
      <c r="H235" s="178">
        <v>8470</v>
      </c>
      <c r="I235" s="178">
        <v>9820</v>
      </c>
    </row>
    <row r="236" spans="1:9">
      <c r="A236" s="179" t="s">
        <v>429</v>
      </c>
      <c r="B236" s="179" t="s">
        <v>518</v>
      </c>
      <c r="C236" s="186">
        <v>38798</v>
      </c>
      <c r="D236" s="188">
        <f t="shared" si="6"/>
        <v>2006</v>
      </c>
      <c r="E236" s="183" t="s">
        <v>537</v>
      </c>
      <c r="F236" s="178">
        <v>1000</v>
      </c>
      <c r="G236" s="178">
        <v>25350</v>
      </c>
      <c r="H236" s="178">
        <v>10220</v>
      </c>
      <c r="I236" s="178">
        <v>15130</v>
      </c>
    </row>
    <row r="237" spans="1:9">
      <c r="A237" s="179" t="s">
        <v>423</v>
      </c>
      <c r="B237" s="179" t="s">
        <v>518</v>
      </c>
      <c r="C237" s="186">
        <v>38802</v>
      </c>
      <c r="D237" s="188">
        <f t="shared" si="6"/>
        <v>2006</v>
      </c>
      <c r="E237" s="183" t="s">
        <v>523</v>
      </c>
      <c r="F237" s="178">
        <v>300</v>
      </c>
      <c r="G237" s="178">
        <v>7569</v>
      </c>
      <c r="H237" s="178">
        <v>3066</v>
      </c>
      <c r="I237" s="178">
        <v>4503</v>
      </c>
    </row>
    <row r="238" spans="1:9">
      <c r="A238" s="179" t="s">
        <v>429</v>
      </c>
      <c r="B238" s="179" t="s">
        <v>518</v>
      </c>
      <c r="C238" s="186">
        <v>38804</v>
      </c>
      <c r="D238" s="188">
        <f t="shared" si="6"/>
        <v>2006</v>
      </c>
      <c r="E238" s="183" t="s">
        <v>529</v>
      </c>
      <c r="F238" s="178">
        <v>500</v>
      </c>
      <c r="G238" s="178">
        <v>10380</v>
      </c>
      <c r="H238" s="178">
        <v>5110</v>
      </c>
      <c r="I238" s="178">
        <v>5270</v>
      </c>
    </row>
    <row r="239" spans="1:9">
      <c r="A239" s="179" t="s">
        <v>429</v>
      </c>
      <c r="B239" s="179" t="s">
        <v>516</v>
      </c>
      <c r="C239" s="186">
        <v>38805</v>
      </c>
      <c r="D239" s="188">
        <f t="shared" si="6"/>
        <v>2006</v>
      </c>
      <c r="E239" s="183" t="s">
        <v>523</v>
      </c>
      <c r="F239" s="178">
        <v>700</v>
      </c>
      <c r="G239" s="178">
        <v>13797</v>
      </c>
      <c r="H239" s="178">
        <v>6888</v>
      </c>
      <c r="I239" s="178">
        <v>6909</v>
      </c>
    </row>
    <row r="240" spans="1:9">
      <c r="A240" s="179" t="s">
        <v>423</v>
      </c>
      <c r="B240" s="179" t="s">
        <v>518</v>
      </c>
      <c r="C240" s="186">
        <v>38807</v>
      </c>
      <c r="D240" s="188">
        <f t="shared" si="6"/>
        <v>2006</v>
      </c>
      <c r="E240" s="183" t="s">
        <v>534</v>
      </c>
      <c r="F240" s="178">
        <v>300</v>
      </c>
      <c r="G240" s="178">
        <v>7305</v>
      </c>
      <c r="H240" s="178">
        <v>3066</v>
      </c>
      <c r="I240" s="178">
        <v>4239</v>
      </c>
    </row>
    <row r="241" spans="1:9">
      <c r="A241" s="179" t="s">
        <v>429</v>
      </c>
      <c r="B241" s="179" t="s">
        <v>517</v>
      </c>
      <c r="C241" s="186">
        <v>38808</v>
      </c>
      <c r="D241" s="188">
        <f t="shared" si="6"/>
        <v>2006</v>
      </c>
      <c r="E241" s="183" t="s">
        <v>526</v>
      </c>
      <c r="F241" s="178">
        <v>500</v>
      </c>
      <c r="G241" s="178">
        <v>9635</v>
      </c>
      <c r="H241" s="178">
        <v>4235</v>
      </c>
      <c r="I241" s="178">
        <v>5400</v>
      </c>
    </row>
    <row r="242" spans="1:9">
      <c r="A242" s="179" t="s">
        <v>423</v>
      </c>
      <c r="B242" s="179" t="s">
        <v>518</v>
      </c>
      <c r="C242" s="186">
        <v>38810</v>
      </c>
      <c r="D242" s="188">
        <f t="shared" si="6"/>
        <v>2006</v>
      </c>
      <c r="E242" s="183" t="s">
        <v>529</v>
      </c>
      <c r="F242" s="178">
        <v>500</v>
      </c>
      <c r="G242" s="178">
        <v>12755</v>
      </c>
      <c r="H242" s="178">
        <v>5110</v>
      </c>
      <c r="I242" s="178">
        <v>7645</v>
      </c>
    </row>
    <row r="243" spans="1:9">
      <c r="A243" s="179" t="s">
        <v>423</v>
      </c>
      <c r="B243" s="179" t="s">
        <v>517</v>
      </c>
      <c r="C243" s="186">
        <v>38810</v>
      </c>
      <c r="D243" s="188">
        <f t="shared" si="6"/>
        <v>2006</v>
      </c>
      <c r="E243" s="183" t="s">
        <v>533</v>
      </c>
      <c r="F243" s="178">
        <v>500</v>
      </c>
      <c r="G243" s="178">
        <v>9855</v>
      </c>
      <c r="H243" s="178">
        <v>4235</v>
      </c>
      <c r="I243" s="178">
        <v>5620</v>
      </c>
    </row>
    <row r="244" spans="1:9">
      <c r="A244" s="179" t="s">
        <v>423</v>
      </c>
      <c r="B244" s="179" t="s">
        <v>517</v>
      </c>
      <c r="C244" s="186">
        <v>38814</v>
      </c>
      <c r="D244" s="188">
        <f t="shared" si="6"/>
        <v>2006</v>
      </c>
      <c r="E244" s="183" t="s">
        <v>532</v>
      </c>
      <c r="F244" s="178">
        <v>400</v>
      </c>
      <c r="G244" s="178">
        <v>6880</v>
      </c>
      <c r="H244" s="178">
        <v>3388</v>
      </c>
      <c r="I244" s="178">
        <v>3492</v>
      </c>
    </row>
    <row r="245" spans="1:9">
      <c r="A245" s="179" t="s">
        <v>528</v>
      </c>
      <c r="B245" s="179" t="s">
        <v>518</v>
      </c>
      <c r="C245" s="186">
        <v>38815</v>
      </c>
      <c r="D245" s="188">
        <f t="shared" si="6"/>
        <v>2006</v>
      </c>
      <c r="E245" s="183" t="s">
        <v>530</v>
      </c>
      <c r="F245" s="178">
        <v>900</v>
      </c>
      <c r="G245" s="178">
        <v>18783</v>
      </c>
      <c r="H245" s="178">
        <v>9198</v>
      </c>
      <c r="I245" s="178">
        <v>9585</v>
      </c>
    </row>
    <row r="246" spans="1:9">
      <c r="A246" s="179" t="s">
        <v>528</v>
      </c>
      <c r="B246" s="179" t="s">
        <v>518</v>
      </c>
      <c r="C246" s="186">
        <v>38815</v>
      </c>
      <c r="D246" s="188">
        <f t="shared" si="6"/>
        <v>2006</v>
      </c>
      <c r="E246" s="183" t="s">
        <v>529</v>
      </c>
      <c r="F246" s="178">
        <v>200</v>
      </c>
      <c r="G246" s="178">
        <v>4550</v>
      </c>
      <c r="H246" s="178">
        <v>2044</v>
      </c>
      <c r="I246" s="178">
        <v>2506</v>
      </c>
    </row>
    <row r="247" spans="1:9">
      <c r="A247" s="179" t="s">
        <v>429</v>
      </c>
      <c r="B247" s="179" t="s">
        <v>516</v>
      </c>
      <c r="C247" s="186">
        <v>38816</v>
      </c>
      <c r="D247" s="188">
        <f t="shared" si="6"/>
        <v>2006</v>
      </c>
      <c r="E247" s="183" t="s">
        <v>534</v>
      </c>
      <c r="F247" s="178">
        <v>500</v>
      </c>
      <c r="G247" s="178">
        <v>11695</v>
      </c>
      <c r="H247" s="178">
        <v>4920</v>
      </c>
      <c r="I247" s="178">
        <v>6775</v>
      </c>
    </row>
    <row r="248" spans="1:9">
      <c r="A248" s="179" t="s">
        <v>429</v>
      </c>
      <c r="B248" s="179" t="s">
        <v>516</v>
      </c>
      <c r="C248" s="186">
        <v>38817</v>
      </c>
      <c r="D248" s="188">
        <f t="shared" si="6"/>
        <v>2006</v>
      </c>
      <c r="E248" s="183" t="s">
        <v>532</v>
      </c>
      <c r="F248" s="178">
        <v>700</v>
      </c>
      <c r="G248" s="178">
        <v>14784</v>
      </c>
      <c r="H248" s="178">
        <v>6888</v>
      </c>
      <c r="I248" s="178">
        <v>7896</v>
      </c>
    </row>
    <row r="249" spans="1:9">
      <c r="A249" s="179" t="s">
        <v>528</v>
      </c>
      <c r="B249" s="179" t="s">
        <v>516</v>
      </c>
      <c r="C249" s="186">
        <v>38820</v>
      </c>
      <c r="D249" s="188">
        <f t="shared" si="6"/>
        <v>2006</v>
      </c>
      <c r="E249" s="183" t="s">
        <v>529</v>
      </c>
      <c r="F249" s="178">
        <v>800</v>
      </c>
      <c r="G249" s="178">
        <v>16264</v>
      </c>
      <c r="H249" s="178">
        <v>7872</v>
      </c>
      <c r="I249" s="178">
        <v>8392</v>
      </c>
    </row>
    <row r="250" spans="1:9">
      <c r="A250" s="179" t="s">
        <v>423</v>
      </c>
      <c r="B250" s="179" t="s">
        <v>516</v>
      </c>
      <c r="C250" s="186">
        <v>38827</v>
      </c>
      <c r="D250" s="188">
        <f t="shared" si="6"/>
        <v>2006</v>
      </c>
      <c r="E250" s="183" t="s">
        <v>532</v>
      </c>
      <c r="F250" s="178">
        <v>1000</v>
      </c>
      <c r="G250" s="178">
        <v>23820</v>
      </c>
      <c r="H250" s="178">
        <v>9840</v>
      </c>
      <c r="I250" s="178">
        <v>13980</v>
      </c>
    </row>
    <row r="251" spans="1:9">
      <c r="A251" s="179" t="s">
        <v>429</v>
      </c>
      <c r="B251" s="179" t="s">
        <v>516</v>
      </c>
      <c r="C251" s="186">
        <v>38830</v>
      </c>
      <c r="D251" s="188">
        <f t="shared" si="6"/>
        <v>2006</v>
      </c>
      <c r="E251" s="183" t="s">
        <v>527</v>
      </c>
      <c r="F251" s="178">
        <v>600</v>
      </c>
      <c r="G251" s="178">
        <v>14004</v>
      </c>
      <c r="H251" s="178">
        <v>5904</v>
      </c>
      <c r="I251" s="178">
        <v>8100</v>
      </c>
    </row>
    <row r="252" spans="1:9">
      <c r="A252" s="179" t="s">
        <v>528</v>
      </c>
      <c r="B252" s="179" t="s">
        <v>518</v>
      </c>
      <c r="C252" s="186">
        <v>38830</v>
      </c>
      <c r="D252" s="188">
        <f t="shared" si="6"/>
        <v>2006</v>
      </c>
      <c r="E252" s="183" t="s">
        <v>535</v>
      </c>
      <c r="F252" s="178">
        <v>400</v>
      </c>
      <c r="G252" s="178">
        <v>9064</v>
      </c>
      <c r="H252" s="178">
        <v>4088</v>
      </c>
      <c r="I252" s="178">
        <v>4976</v>
      </c>
    </row>
    <row r="253" spans="1:9">
      <c r="A253" s="179" t="s">
        <v>528</v>
      </c>
      <c r="B253" s="179" t="s">
        <v>518</v>
      </c>
      <c r="C253" s="186">
        <v>38830</v>
      </c>
      <c r="D253" s="188">
        <f t="shared" si="6"/>
        <v>2006</v>
      </c>
      <c r="E253" s="183" t="s">
        <v>534</v>
      </c>
      <c r="F253" s="178">
        <v>500</v>
      </c>
      <c r="G253" s="178">
        <v>12135</v>
      </c>
      <c r="H253" s="178">
        <v>5110</v>
      </c>
      <c r="I253" s="178">
        <v>7025</v>
      </c>
    </row>
    <row r="254" spans="1:9">
      <c r="A254" s="179" t="s">
        <v>429</v>
      </c>
      <c r="B254" s="179" t="s">
        <v>518</v>
      </c>
      <c r="C254" s="186">
        <v>38832</v>
      </c>
      <c r="D254" s="188">
        <f t="shared" si="6"/>
        <v>2006</v>
      </c>
      <c r="E254" s="183" t="s">
        <v>537</v>
      </c>
      <c r="F254" s="178">
        <v>900</v>
      </c>
      <c r="G254" s="178">
        <v>18756</v>
      </c>
      <c r="H254" s="178">
        <v>9198</v>
      </c>
      <c r="I254" s="178">
        <v>9558</v>
      </c>
    </row>
    <row r="255" spans="1:9">
      <c r="A255" s="179" t="s">
        <v>423</v>
      </c>
      <c r="B255" s="179" t="s">
        <v>518</v>
      </c>
      <c r="C255" s="186">
        <v>38833</v>
      </c>
      <c r="D255" s="188">
        <f t="shared" si="6"/>
        <v>2006</v>
      </c>
      <c r="E255" s="183" t="s">
        <v>531</v>
      </c>
      <c r="F255" s="178">
        <v>200</v>
      </c>
      <c r="G255" s="178">
        <v>5002</v>
      </c>
      <c r="H255" s="178">
        <v>2044</v>
      </c>
      <c r="I255" s="178">
        <v>2958</v>
      </c>
    </row>
    <row r="256" spans="1:9">
      <c r="A256" s="179" t="s">
        <v>423</v>
      </c>
      <c r="B256" s="179" t="s">
        <v>516</v>
      </c>
      <c r="C256" s="186">
        <v>38834</v>
      </c>
      <c r="D256" s="188">
        <f t="shared" si="6"/>
        <v>2006</v>
      </c>
      <c r="E256" s="183" t="s">
        <v>530</v>
      </c>
      <c r="F256" s="178">
        <v>800</v>
      </c>
      <c r="G256" s="178">
        <v>15856</v>
      </c>
      <c r="H256" s="178">
        <v>7872</v>
      </c>
      <c r="I256" s="178">
        <v>7984</v>
      </c>
    </row>
    <row r="257" spans="1:9">
      <c r="A257" s="179" t="s">
        <v>429</v>
      </c>
      <c r="B257" s="179" t="s">
        <v>517</v>
      </c>
      <c r="C257" s="186">
        <v>38834</v>
      </c>
      <c r="D257" s="188">
        <f t="shared" si="6"/>
        <v>2006</v>
      </c>
      <c r="E257" s="183" t="s">
        <v>544</v>
      </c>
      <c r="F257" s="178">
        <v>400</v>
      </c>
      <c r="G257" s="178">
        <v>7136</v>
      </c>
      <c r="H257" s="178">
        <v>3388</v>
      </c>
      <c r="I257" s="178">
        <v>3748</v>
      </c>
    </row>
    <row r="258" spans="1:9">
      <c r="A258" s="179" t="s">
        <v>429</v>
      </c>
      <c r="B258" s="179" t="s">
        <v>516</v>
      </c>
      <c r="C258" s="186">
        <v>38835</v>
      </c>
      <c r="D258" s="188">
        <f t="shared" ref="D258:D321" si="7">YEAR(C258)</f>
        <v>2006</v>
      </c>
      <c r="E258" s="183" t="s">
        <v>525</v>
      </c>
      <c r="F258" s="178">
        <v>600</v>
      </c>
      <c r="G258" s="178">
        <v>14154</v>
      </c>
      <c r="H258" s="178">
        <v>5904</v>
      </c>
      <c r="I258" s="178">
        <v>8250</v>
      </c>
    </row>
    <row r="259" spans="1:9">
      <c r="A259" s="179" t="s">
        <v>528</v>
      </c>
      <c r="B259" s="179" t="s">
        <v>517</v>
      </c>
      <c r="C259" s="186">
        <v>38837</v>
      </c>
      <c r="D259" s="188">
        <f t="shared" si="7"/>
        <v>2006</v>
      </c>
      <c r="E259" s="183" t="s">
        <v>530</v>
      </c>
      <c r="F259" s="178">
        <v>1000</v>
      </c>
      <c r="G259" s="178">
        <v>20770</v>
      </c>
      <c r="H259" s="178">
        <v>8470</v>
      </c>
      <c r="I259" s="178">
        <v>12300</v>
      </c>
    </row>
    <row r="260" spans="1:9">
      <c r="A260" s="179" t="s">
        <v>429</v>
      </c>
      <c r="B260" s="179" t="s">
        <v>518</v>
      </c>
      <c r="C260" s="186">
        <v>38842</v>
      </c>
      <c r="D260" s="188">
        <f t="shared" si="7"/>
        <v>2006</v>
      </c>
      <c r="E260" s="183" t="s">
        <v>525</v>
      </c>
      <c r="F260" s="178">
        <v>900</v>
      </c>
      <c r="G260" s="178">
        <v>21042</v>
      </c>
      <c r="H260" s="178">
        <v>9198</v>
      </c>
      <c r="I260" s="178">
        <v>11844</v>
      </c>
    </row>
    <row r="261" spans="1:9">
      <c r="A261" s="179" t="s">
        <v>423</v>
      </c>
      <c r="B261" s="179" t="s">
        <v>516</v>
      </c>
      <c r="C261" s="186">
        <v>38844</v>
      </c>
      <c r="D261" s="188">
        <f t="shared" si="7"/>
        <v>2006</v>
      </c>
      <c r="E261" s="183" t="s">
        <v>524</v>
      </c>
      <c r="F261" s="178">
        <v>100</v>
      </c>
      <c r="G261" s="178">
        <v>2042</v>
      </c>
      <c r="H261" s="178">
        <v>984</v>
      </c>
      <c r="I261" s="178">
        <v>1058</v>
      </c>
    </row>
    <row r="262" spans="1:9">
      <c r="A262" s="179" t="s">
        <v>429</v>
      </c>
      <c r="B262" s="179" t="s">
        <v>518</v>
      </c>
      <c r="C262" s="186">
        <v>38848</v>
      </c>
      <c r="D262" s="188">
        <f t="shared" si="7"/>
        <v>2006</v>
      </c>
      <c r="E262" s="183" t="s">
        <v>525</v>
      </c>
      <c r="F262" s="178">
        <v>900</v>
      </c>
      <c r="G262" s="178">
        <v>19062</v>
      </c>
      <c r="H262" s="178">
        <v>9198</v>
      </c>
      <c r="I262" s="178">
        <v>9864</v>
      </c>
    </row>
    <row r="263" spans="1:9">
      <c r="A263" s="179" t="s">
        <v>429</v>
      </c>
      <c r="B263" s="179" t="s">
        <v>518</v>
      </c>
      <c r="C263" s="186">
        <v>38853</v>
      </c>
      <c r="D263" s="188">
        <f t="shared" si="7"/>
        <v>2006</v>
      </c>
      <c r="E263" s="183" t="s">
        <v>534</v>
      </c>
      <c r="F263" s="178">
        <v>400</v>
      </c>
      <c r="G263" s="178">
        <v>9816</v>
      </c>
      <c r="H263" s="178">
        <v>4088</v>
      </c>
      <c r="I263" s="178">
        <v>5728</v>
      </c>
    </row>
    <row r="264" spans="1:9">
      <c r="A264" s="179" t="s">
        <v>528</v>
      </c>
      <c r="B264" s="179" t="s">
        <v>516</v>
      </c>
      <c r="C264" s="186">
        <v>38856</v>
      </c>
      <c r="D264" s="188">
        <f t="shared" si="7"/>
        <v>2006</v>
      </c>
      <c r="E264" s="183" t="s">
        <v>537</v>
      </c>
      <c r="F264" s="178">
        <v>900</v>
      </c>
      <c r="G264" s="178">
        <v>21033</v>
      </c>
      <c r="H264" s="178">
        <v>8856</v>
      </c>
      <c r="I264" s="178">
        <v>12177</v>
      </c>
    </row>
    <row r="265" spans="1:9">
      <c r="A265" s="179" t="s">
        <v>429</v>
      </c>
      <c r="B265" s="179" t="s">
        <v>518</v>
      </c>
      <c r="C265" s="186">
        <v>38858</v>
      </c>
      <c r="D265" s="188">
        <f t="shared" si="7"/>
        <v>2006</v>
      </c>
      <c r="E265" s="183" t="s">
        <v>529</v>
      </c>
      <c r="F265" s="178">
        <v>400</v>
      </c>
      <c r="G265" s="178">
        <v>9156</v>
      </c>
      <c r="H265" s="178">
        <v>4088</v>
      </c>
      <c r="I265" s="178">
        <v>5068</v>
      </c>
    </row>
    <row r="266" spans="1:9">
      <c r="A266" s="179" t="s">
        <v>429</v>
      </c>
      <c r="B266" s="179" t="s">
        <v>517</v>
      </c>
      <c r="C266" s="186">
        <v>38858</v>
      </c>
      <c r="D266" s="188">
        <f t="shared" si="7"/>
        <v>2006</v>
      </c>
      <c r="E266" s="183" t="s">
        <v>523</v>
      </c>
      <c r="F266" s="178">
        <v>700</v>
      </c>
      <c r="G266" s="178">
        <v>13874</v>
      </c>
      <c r="H266" s="178">
        <v>5929</v>
      </c>
      <c r="I266" s="178">
        <v>7945</v>
      </c>
    </row>
    <row r="267" spans="1:9">
      <c r="A267" s="179" t="s">
        <v>429</v>
      </c>
      <c r="B267" s="179" t="s">
        <v>516</v>
      </c>
      <c r="C267" s="186">
        <v>38860</v>
      </c>
      <c r="D267" s="188">
        <f t="shared" si="7"/>
        <v>2006</v>
      </c>
      <c r="E267" s="183" t="s">
        <v>529</v>
      </c>
      <c r="F267" s="178">
        <v>200</v>
      </c>
      <c r="G267" s="178">
        <v>4474</v>
      </c>
      <c r="H267" s="178">
        <v>1968</v>
      </c>
      <c r="I267" s="178">
        <v>2506</v>
      </c>
    </row>
    <row r="268" spans="1:9">
      <c r="A268" s="179" t="s">
        <v>429</v>
      </c>
      <c r="B268" s="179" t="s">
        <v>517</v>
      </c>
      <c r="C268" s="186">
        <v>38861</v>
      </c>
      <c r="D268" s="188">
        <f t="shared" si="7"/>
        <v>2006</v>
      </c>
      <c r="E268" s="183" t="s">
        <v>537</v>
      </c>
      <c r="F268" s="178">
        <v>400</v>
      </c>
      <c r="G268" s="178">
        <v>7152</v>
      </c>
      <c r="H268" s="178">
        <v>3388</v>
      </c>
      <c r="I268" s="178">
        <v>3764</v>
      </c>
    </row>
    <row r="269" spans="1:9">
      <c r="A269" s="179" t="s">
        <v>528</v>
      </c>
      <c r="B269" s="179" t="s">
        <v>517</v>
      </c>
      <c r="C269" s="186">
        <v>38861</v>
      </c>
      <c r="D269" s="188">
        <f t="shared" si="7"/>
        <v>2006</v>
      </c>
      <c r="E269" s="183" t="s">
        <v>531</v>
      </c>
      <c r="F269" s="178">
        <v>600</v>
      </c>
      <c r="G269" s="178">
        <v>11964</v>
      </c>
      <c r="H269" s="178">
        <v>5082</v>
      </c>
      <c r="I269" s="178">
        <v>6882</v>
      </c>
    </row>
    <row r="270" spans="1:9">
      <c r="A270" s="179" t="s">
        <v>423</v>
      </c>
      <c r="B270" s="179" t="s">
        <v>517</v>
      </c>
      <c r="C270" s="186">
        <v>38862</v>
      </c>
      <c r="D270" s="188">
        <f t="shared" si="7"/>
        <v>2006</v>
      </c>
      <c r="E270" s="183" t="s">
        <v>531</v>
      </c>
      <c r="F270" s="178">
        <v>1000</v>
      </c>
      <c r="G270" s="178">
        <v>18530</v>
      </c>
      <c r="H270" s="178">
        <v>8470</v>
      </c>
      <c r="I270" s="178">
        <v>10060</v>
      </c>
    </row>
    <row r="271" spans="1:9">
      <c r="A271" s="179" t="s">
        <v>429</v>
      </c>
      <c r="B271" s="179" t="s">
        <v>518</v>
      </c>
      <c r="C271" s="186">
        <v>38865</v>
      </c>
      <c r="D271" s="188">
        <f t="shared" si="7"/>
        <v>2006</v>
      </c>
      <c r="E271" s="183" t="s">
        <v>524</v>
      </c>
      <c r="F271" s="178">
        <v>600</v>
      </c>
      <c r="G271" s="178">
        <v>13290</v>
      </c>
      <c r="H271" s="178">
        <v>6132</v>
      </c>
      <c r="I271" s="178">
        <v>7158</v>
      </c>
    </row>
    <row r="272" spans="1:9">
      <c r="A272" s="179" t="s">
        <v>429</v>
      </c>
      <c r="B272" s="179" t="s">
        <v>516</v>
      </c>
      <c r="C272" s="186">
        <v>38868</v>
      </c>
      <c r="D272" s="188">
        <f t="shared" si="7"/>
        <v>2006</v>
      </c>
      <c r="E272" s="183" t="s">
        <v>530</v>
      </c>
      <c r="F272" s="178">
        <v>800</v>
      </c>
      <c r="G272" s="178">
        <v>17136</v>
      </c>
      <c r="H272" s="178">
        <v>7872</v>
      </c>
      <c r="I272" s="178">
        <v>9264</v>
      </c>
    </row>
    <row r="273" spans="1:9">
      <c r="A273" s="179" t="s">
        <v>528</v>
      </c>
      <c r="B273" s="179" t="s">
        <v>516</v>
      </c>
      <c r="C273" s="186">
        <v>38870</v>
      </c>
      <c r="D273" s="188">
        <f t="shared" si="7"/>
        <v>2006</v>
      </c>
      <c r="E273" s="183" t="s">
        <v>533</v>
      </c>
      <c r="F273" s="178">
        <v>200</v>
      </c>
      <c r="G273" s="178">
        <v>4492</v>
      </c>
      <c r="H273" s="178">
        <v>1968</v>
      </c>
      <c r="I273" s="178">
        <v>2524</v>
      </c>
    </row>
    <row r="274" spans="1:9">
      <c r="A274" s="179" t="s">
        <v>429</v>
      </c>
      <c r="B274" s="179" t="s">
        <v>517</v>
      </c>
      <c r="C274" s="186">
        <v>38872</v>
      </c>
      <c r="D274" s="188">
        <f t="shared" si="7"/>
        <v>2006</v>
      </c>
      <c r="E274" s="183" t="s">
        <v>537</v>
      </c>
      <c r="F274" s="178">
        <v>800</v>
      </c>
      <c r="G274" s="178">
        <v>14984</v>
      </c>
      <c r="H274" s="178">
        <v>6776</v>
      </c>
      <c r="I274" s="178">
        <v>8208</v>
      </c>
    </row>
    <row r="275" spans="1:9">
      <c r="A275" s="179" t="s">
        <v>429</v>
      </c>
      <c r="B275" s="179" t="s">
        <v>517</v>
      </c>
      <c r="C275" s="186">
        <v>38873</v>
      </c>
      <c r="D275" s="188">
        <f t="shared" si="7"/>
        <v>2006</v>
      </c>
      <c r="E275" s="183" t="s">
        <v>537</v>
      </c>
      <c r="F275" s="178">
        <v>900</v>
      </c>
      <c r="G275" s="178">
        <v>18576</v>
      </c>
      <c r="H275" s="178">
        <v>7623</v>
      </c>
      <c r="I275" s="178">
        <v>10953</v>
      </c>
    </row>
    <row r="276" spans="1:9">
      <c r="A276" s="179" t="s">
        <v>528</v>
      </c>
      <c r="B276" s="179" t="s">
        <v>516</v>
      </c>
      <c r="C276" s="186">
        <v>38873</v>
      </c>
      <c r="D276" s="188">
        <f t="shared" si="7"/>
        <v>2006</v>
      </c>
      <c r="E276" s="183" t="s">
        <v>542</v>
      </c>
      <c r="F276" s="178">
        <v>500</v>
      </c>
      <c r="G276" s="178">
        <v>11220</v>
      </c>
      <c r="H276" s="178">
        <v>4920</v>
      </c>
      <c r="I276" s="178">
        <v>6300</v>
      </c>
    </row>
    <row r="277" spans="1:9">
      <c r="A277" s="179" t="s">
        <v>429</v>
      </c>
      <c r="B277" s="179" t="s">
        <v>518</v>
      </c>
      <c r="C277" s="186">
        <v>38873</v>
      </c>
      <c r="D277" s="188">
        <f t="shared" si="7"/>
        <v>2006</v>
      </c>
      <c r="E277" s="183" t="s">
        <v>532</v>
      </c>
      <c r="F277" s="178">
        <v>900</v>
      </c>
      <c r="G277" s="178">
        <v>22716</v>
      </c>
      <c r="H277" s="178">
        <v>9198</v>
      </c>
      <c r="I277" s="178">
        <v>13518</v>
      </c>
    </row>
    <row r="278" spans="1:9">
      <c r="A278" s="179" t="s">
        <v>429</v>
      </c>
      <c r="B278" s="179" t="s">
        <v>517</v>
      </c>
      <c r="C278" s="186">
        <v>38877</v>
      </c>
      <c r="D278" s="188">
        <f t="shared" si="7"/>
        <v>2006</v>
      </c>
      <c r="E278" s="183" t="s">
        <v>524</v>
      </c>
      <c r="F278" s="178">
        <v>500</v>
      </c>
      <c r="G278" s="178">
        <v>9345</v>
      </c>
      <c r="H278" s="178">
        <v>4235</v>
      </c>
      <c r="I278" s="178">
        <v>5110</v>
      </c>
    </row>
    <row r="279" spans="1:9">
      <c r="A279" s="179" t="s">
        <v>528</v>
      </c>
      <c r="B279" s="179" t="s">
        <v>518</v>
      </c>
      <c r="C279" s="186">
        <v>38887</v>
      </c>
      <c r="D279" s="188">
        <f t="shared" si="7"/>
        <v>2006</v>
      </c>
      <c r="E279" s="183" t="s">
        <v>531</v>
      </c>
      <c r="F279" s="178">
        <v>300</v>
      </c>
      <c r="G279" s="178">
        <v>6495</v>
      </c>
      <c r="H279" s="178">
        <v>3066</v>
      </c>
      <c r="I279" s="178">
        <v>3429</v>
      </c>
    </row>
    <row r="280" spans="1:9">
      <c r="A280" s="179" t="s">
        <v>423</v>
      </c>
      <c r="B280" s="179" t="s">
        <v>517</v>
      </c>
      <c r="C280" s="186">
        <v>38887</v>
      </c>
      <c r="D280" s="188">
        <f t="shared" si="7"/>
        <v>2006</v>
      </c>
      <c r="E280" s="183" t="s">
        <v>523</v>
      </c>
      <c r="F280" s="178">
        <v>300</v>
      </c>
      <c r="G280" s="178">
        <v>5094</v>
      </c>
      <c r="H280" s="178">
        <v>2541</v>
      </c>
      <c r="I280" s="178">
        <v>2553</v>
      </c>
    </row>
    <row r="281" spans="1:9">
      <c r="A281" s="179" t="s">
        <v>429</v>
      </c>
      <c r="B281" s="179" t="s">
        <v>518</v>
      </c>
      <c r="C281" s="186">
        <v>38887</v>
      </c>
      <c r="D281" s="188">
        <f t="shared" si="7"/>
        <v>2006</v>
      </c>
      <c r="E281" s="183" t="s">
        <v>524</v>
      </c>
      <c r="F281" s="178">
        <v>1000</v>
      </c>
      <c r="G281" s="178">
        <v>21880</v>
      </c>
      <c r="H281" s="178">
        <v>10220</v>
      </c>
      <c r="I281" s="178">
        <v>11660</v>
      </c>
    </row>
    <row r="282" spans="1:9">
      <c r="A282" s="179" t="s">
        <v>423</v>
      </c>
      <c r="B282" s="179" t="s">
        <v>518</v>
      </c>
      <c r="C282" s="186">
        <v>38889</v>
      </c>
      <c r="D282" s="188">
        <f t="shared" si="7"/>
        <v>2006</v>
      </c>
      <c r="E282" s="183" t="s">
        <v>527</v>
      </c>
      <c r="F282" s="178">
        <v>800</v>
      </c>
      <c r="G282" s="178">
        <v>18072</v>
      </c>
      <c r="H282" s="178">
        <v>8176</v>
      </c>
      <c r="I282" s="178">
        <v>9896</v>
      </c>
    </row>
    <row r="283" spans="1:9">
      <c r="A283" s="179" t="s">
        <v>528</v>
      </c>
      <c r="B283" s="179" t="s">
        <v>518</v>
      </c>
      <c r="C283" s="186">
        <v>38890</v>
      </c>
      <c r="D283" s="188">
        <f t="shared" si="7"/>
        <v>2006</v>
      </c>
      <c r="E283" s="183" t="s">
        <v>530</v>
      </c>
      <c r="F283" s="178">
        <v>100</v>
      </c>
      <c r="G283" s="178">
        <v>2309</v>
      </c>
      <c r="H283" s="178">
        <v>1022</v>
      </c>
      <c r="I283" s="178">
        <v>1287</v>
      </c>
    </row>
    <row r="284" spans="1:9">
      <c r="A284" s="179" t="s">
        <v>528</v>
      </c>
      <c r="B284" s="179" t="s">
        <v>518</v>
      </c>
      <c r="C284" s="186">
        <v>38890</v>
      </c>
      <c r="D284" s="188">
        <f t="shared" si="7"/>
        <v>2006</v>
      </c>
      <c r="E284" s="183" t="s">
        <v>533</v>
      </c>
      <c r="F284" s="178">
        <v>500</v>
      </c>
      <c r="G284" s="178">
        <v>11470</v>
      </c>
      <c r="H284" s="178">
        <v>5110</v>
      </c>
      <c r="I284" s="178">
        <v>6360</v>
      </c>
    </row>
    <row r="285" spans="1:9">
      <c r="A285" s="179" t="s">
        <v>429</v>
      </c>
      <c r="B285" s="179" t="s">
        <v>516</v>
      </c>
      <c r="C285" s="186">
        <v>38895</v>
      </c>
      <c r="D285" s="188">
        <f t="shared" si="7"/>
        <v>2006</v>
      </c>
      <c r="E285" s="183" t="s">
        <v>531</v>
      </c>
      <c r="F285" s="178">
        <v>900</v>
      </c>
      <c r="G285" s="178">
        <v>21168</v>
      </c>
      <c r="H285" s="178">
        <v>8856</v>
      </c>
      <c r="I285" s="178">
        <v>12312</v>
      </c>
    </row>
    <row r="286" spans="1:9">
      <c r="A286" s="179" t="s">
        <v>528</v>
      </c>
      <c r="B286" s="179" t="s">
        <v>516</v>
      </c>
      <c r="C286" s="186">
        <v>38896</v>
      </c>
      <c r="D286" s="188">
        <f t="shared" si="7"/>
        <v>2006</v>
      </c>
      <c r="E286" s="183" t="s">
        <v>524</v>
      </c>
      <c r="F286" s="178">
        <v>100</v>
      </c>
      <c r="G286" s="178">
        <v>2257</v>
      </c>
      <c r="H286" s="178">
        <v>984</v>
      </c>
      <c r="I286" s="178">
        <v>1273</v>
      </c>
    </row>
    <row r="287" spans="1:9">
      <c r="A287" s="179" t="s">
        <v>423</v>
      </c>
      <c r="B287" s="179" t="s">
        <v>517</v>
      </c>
      <c r="C287" s="186">
        <v>38900</v>
      </c>
      <c r="D287" s="188">
        <f t="shared" si="7"/>
        <v>2006</v>
      </c>
      <c r="E287" s="183" t="s">
        <v>532</v>
      </c>
      <c r="F287" s="178">
        <v>200</v>
      </c>
      <c r="G287" s="178">
        <v>3418</v>
      </c>
      <c r="H287" s="178">
        <v>1694</v>
      </c>
      <c r="I287" s="178">
        <v>1724</v>
      </c>
    </row>
    <row r="288" spans="1:9">
      <c r="A288" s="179" t="s">
        <v>528</v>
      </c>
      <c r="B288" s="179" t="s">
        <v>516</v>
      </c>
      <c r="C288" s="186">
        <v>38904</v>
      </c>
      <c r="D288" s="188">
        <f t="shared" si="7"/>
        <v>2006</v>
      </c>
      <c r="E288" s="183" t="s">
        <v>531</v>
      </c>
      <c r="F288" s="178">
        <v>1000</v>
      </c>
      <c r="G288" s="178">
        <v>20840</v>
      </c>
      <c r="H288" s="178">
        <v>9840</v>
      </c>
      <c r="I288" s="178">
        <v>11000</v>
      </c>
    </row>
    <row r="289" spans="1:9">
      <c r="A289" s="179" t="s">
        <v>423</v>
      </c>
      <c r="B289" s="179" t="s">
        <v>517</v>
      </c>
      <c r="C289" s="186">
        <v>38906</v>
      </c>
      <c r="D289" s="188">
        <f t="shared" si="7"/>
        <v>2006</v>
      </c>
      <c r="E289" s="183" t="s">
        <v>532</v>
      </c>
      <c r="F289" s="178">
        <v>1000</v>
      </c>
      <c r="G289" s="178">
        <v>19110</v>
      </c>
      <c r="H289" s="178">
        <v>8470</v>
      </c>
      <c r="I289" s="178">
        <v>10640</v>
      </c>
    </row>
    <row r="290" spans="1:9">
      <c r="A290" s="179" t="s">
        <v>528</v>
      </c>
      <c r="B290" s="179" t="s">
        <v>517</v>
      </c>
      <c r="C290" s="186">
        <v>38908</v>
      </c>
      <c r="D290" s="188">
        <f t="shared" si="7"/>
        <v>2006</v>
      </c>
      <c r="E290" s="183" t="s">
        <v>534</v>
      </c>
      <c r="F290" s="178">
        <v>100</v>
      </c>
      <c r="G290" s="178">
        <v>2108</v>
      </c>
      <c r="H290" s="178">
        <v>847</v>
      </c>
      <c r="I290" s="178">
        <v>1261</v>
      </c>
    </row>
    <row r="291" spans="1:9">
      <c r="A291" s="179" t="s">
        <v>423</v>
      </c>
      <c r="B291" s="179" t="s">
        <v>517</v>
      </c>
      <c r="C291" s="186">
        <v>38909</v>
      </c>
      <c r="D291" s="188">
        <f t="shared" si="7"/>
        <v>2006</v>
      </c>
      <c r="E291" s="183" t="s">
        <v>531</v>
      </c>
      <c r="F291" s="178">
        <v>1000</v>
      </c>
      <c r="G291" s="178">
        <v>18500</v>
      </c>
      <c r="H291" s="178">
        <v>8470</v>
      </c>
      <c r="I291" s="178">
        <v>10030</v>
      </c>
    </row>
    <row r="292" spans="1:9">
      <c r="A292" s="179" t="s">
        <v>423</v>
      </c>
      <c r="B292" s="179" t="s">
        <v>518</v>
      </c>
      <c r="C292" s="186">
        <v>38910</v>
      </c>
      <c r="D292" s="188">
        <f t="shared" si="7"/>
        <v>2006</v>
      </c>
      <c r="E292" s="183" t="s">
        <v>534</v>
      </c>
      <c r="F292" s="178">
        <v>100</v>
      </c>
      <c r="G292" s="178">
        <v>2213</v>
      </c>
      <c r="H292" s="178">
        <v>1022</v>
      </c>
      <c r="I292" s="178">
        <v>1191</v>
      </c>
    </row>
    <row r="293" spans="1:9">
      <c r="A293" s="179" t="s">
        <v>423</v>
      </c>
      <c r="B293" s="179" t="s">
        <v>516</v>
      </c>
      <c r="C293" s="186">
        <v>38911</v>
      </c>
      <c r="D293" s="188">
        <f t="shared" si="7"/>
        <v>2006</v>
      </c>
      <c r="E293" s="183" t="s">
        <v>529</v>
      </c>
      <c r="F293" s="178">
        <v>1000</v>
      </c>
      <c r="G293" s="178">
        <v>21740</v>
      </c>
      <c r="H293" s="178">
        <v>9840</v>
      </c>
      <c r="I293" s="178">
        <v>11900</v>
      </c>
    </row>
    <row r="294" spans="1:9">
      <c r="A294" s="179" t="s">
        <v>429</v>
      </c>
      <c r="B294" s="179" t="s">
        <v>517</v>
      </c>
      <c r="C294" s="186">
        <v>38914</v>
      </c>
      <c r="D294" s="188">
        <f t="shared" si="7"/>
        <v>2006</v>
      </c>
      <c r="E294" s="183" t="s">
        <v>533</v>
      </c>
      <c r="F294" s="178">
        <v>800</v>
      </c>
      <c r="G294" s="178">
        <v>16008</v>
      </c>
      <c r="H294" s="178">
        <v>6776</v>
      </c>
      <c r="I294" s="178">
        <v>9232</v>
      </c>
    </row>
    <row r="295" spans="1:9">
      <c r="A295" s="179" t="s">
        <v>528</v>
      </c>
      <c r="B295" s="179" t="s">
        <v>517</v>
      </c>
      <c r="C295" s="186">
        <v>38915</v>
      </c>
      <c r="D295" s="188">
        <f t="shared" si="7"/>
        <v>2006</v>
      </c>
      <c r="E295" s="183" t="s">
        <v>530</v>
      </c>
      <c r="F295" s="178">
        <v>100</v>
      </c>
      <c r="G295" s="178">
        <v>1817</v>
      </c>
      <c r="H295" s="178">
        <v>847</v>
      </c>
      <c r="I295" s="178">
        <v>970</v>
      </c>
    </row>
    <row r="296" spans="1:9">
      <c r="A296" s="179" t="s">
        <v>528</v>
      </c>
      <c r="B296" s="179" t="s">
        <v>517</v>
      </c>
      <c r="C296" s="186">
        <v>38915</v>
      </c>
      <c r="D296" s="188">
        <f t="shared" si="7"/>
        <v>2006</v>
      </c>
      <c r="E296" s="183" t="s">
        <v>534</v>
      </c>
      <c r="F296" s="178">
        <v>300</v>
      </c>
      <c r="G296" s="178">
        <v>6267</v>
      </c>
      <c r="H296" s="178">
        <v>2541</v>
      </c>
      <c r="I296" s="178">
        <v>3726</v>
      </c>
    </row>
    <row r="297" spans="1:9">
      <c r="A297" s="179" t="s">
        <v>423</v>
      </c>
      <c r="B297" s="179" t="s">
        <v>518</v>
      </c>
      <c r="C297" s="186">
        <v>38916</v>
      </c>
      <c r="D297" s="188">
        <f t="shared" si="7"/>
        <v>2006</v>
      </c>
      <c r="E297" s="183" t="s">
        <v>525</v>
      </c>
      <c r="F297" s="178">
        <v>1000</v>
      </c>
      <c r="G297" s="178">
        <v>25310</v>
      </c>
      <c r="H297" s="178">
        <v>10220</v>
      </c>
      <c r="I297" s="178">
        <v>15090</v>
      </c>
    </row>
    <row r="298" spans="1:9">
      <c r="A298" s="179" t="s">
        <v>429</v>
      </c>
      <c r="B298" s="179" t="s">
        <v>517</v>
      </c>
      <c r="C298" s="186">
        <v>38919</v>
      </c>
      <c r="D298" s="188">
        <f t="shared" si="7"/>
        <v>2006</v>
      </c>
      <c r="E298" s="183" t="s">
        <v>530</v>
      </c>
      <c r="F298" s="178">
        <v>700</v>
      </c>
      <c r="G298" s="178">
        <v>12131</v>
      </c>
      <c r="H298" s="178">
        <v>5929</v>
      </c>
      <c r="I298" s="178">
        <v>6202</v>
      </c>
    </row>
    <row r="299" spans="1:9">
      <c r="A299" s="179" t="s">
        <v>423</v>
      </c>
      <c r="B299" s="179" t="s">
        <v>516</v>
      </c>
      <c r="C299" s="186">
        <v>38919</v>
      </c>
      <c r="D299" s="188">
        <f t="shared" si="7"/>
        <v>2006</v>
      </c>
      <c r="E299" s="183" t="s">
        <v>533</v>
      </c>
      <c r="F299" s="178">
        <v>200</v>
      </c>
      <c r="G299" s="178">
        <v>4470</v>
      </c>
      <c r="H299" s="178">
        <v>1968</v>
      </c>
      <c r="I299" s="178">
        <v>2502</v>
      </c>
    </row>
    <row r="300" spans="1:9">
      <c r="A300" s="179" t="s">
        <v>429</v>
      </c>
      <c r="B300" s="179" t="s">
        <v>517</v>
      </c>
      <c r="C300" s="186">
        <v>38919</v>
      </c>
      <c r="D300" s="188">
        <f t="shared" si="7"/>
        <v>2006</v>
      </c>
      <c r="E300" s="183" t="s">
        <v>532</v>
      </c>
      <c r="F300" s="178">
        <v>800</v>
      </c>
      <c r="G300" s="178">
        <v>14224</v>
      </c>
      <c r="H300" s="178">
        <v>6776</v>
      </c>
      <c r="I300" s="178">
        <v>7448</v>
      </c>
    </row>
    <row r="301" spans="1:9">
      <c r="A301" s="179" t="s">
        <v>423</v>
      </c>
      <c r="B301" s="179" t="s">
        <v>518</v>
      </c>
      <c r="C301" s="186">
        <v>38921</v>
      </c>
      <c r="D301" s="188">
        <f t="shared" si="7"/>
        <v>2006</v>
      </c>
      <c r="E301" s="183" t="s">
        <v>523</v>
      </c>
      <c r="F301" s="178">
        <v>400</v>
      </c>
      <c r="G301" s="178">
        <v>9144</v>
      </c>
      <c r="H301" s="178">
        <v>4088</v>
      </c>
      <c r="I301" s="178">
        <v>5056</v>
      </c>
    </row>
    <row r="302" spans="1:9">
      <c r="A302" s="179" t="s">
        <v>423</v>
      </c>
      <c r="B302" s="179" t="s">
        <v>517</v>
      </c>
      <c r="C302" s="186">
        <v>38921</v>
      </c>
      <c r="D302" s="188">
        <f t="shared" si="7"/>
        <v>2006</v>
      </c>
      <c r="E302" s="183" t="s">
        <v>541</v>
      </c>
      <c r="F302" s="178">
        <v>700</v>
      </c>
      <c r="G302" s="178">
        <v>13853</v>
      </c>
      <c r="H302" s="178">
        <v>5929</v>
      </c>
      <c r="I302" s="178">
        <v>7924</v>
      </c>
    </row>
    <row r="303" spans="1:9">
      <c r="A303" s="179" t="s">
        <v>423</v>
      </c>
      <c r="B303" s="179" t="s">
        <v>518</v>
      </c>
      <c r="C303" s="186">
        <v>38927</v>
      </c>
      <c r="D303" s="188">
        <f t="shared" si="7"/>
        <v>2006</v>
      </c>
      <c r="E303" s="183" t="s">
        <v>535</v>
      </c>
      <c r="F303" s="178">
        <v>400</v>
      </c>
      <c r="G303" s="178">
        <v>8556</v>
      </c>
      <c r="H303" s="178">
        <v>4088</v>
      </c>
      <c r="I303" s="178">
        <v>4468</v>
      </c>
    </row>
    <row r="304" spans="1:9">
      <c r="A304" s="179" t="s">
        <v>528</v>
      </c>
      <c r="B304" s="179" t="s">
        <v>516</v>
      </c>
      <c r="C304" s="186">
        <v>38932</v>
      </c>
      <c r="D304" s="188">
        <f t="shared" si="7"/>
        <v>2006</v>
      </c>
      <c r="E304" s="183" t="s">
        <v>531</v>
      </c>
      <c r="F304" s="178">
        <v>100</v>
      </c>
      <c r="G304" s="178">
        <v>2231</v>
      </c>
      <c r="H304" s="178">
        <v>984</v>
      </c>
      <c r="I304" s="178">
        <v>1247</v>
      </c>
    </row>
    <row r="305" spans="1:9">
      <c r="A305" s="179" t="s">
        <v>528</v>
      </c>
      <c r="B305" s="179" t="s">
        <v>516</v>
      </c>
      <c r="C305" s="186">
        <v>38935</v>
      </c>
      <c r="D305" s="188">
        <f t="shared" si="7"/>
        <v>2006</v>
      </c>
      <c r="E305" s="183" t="s">
        <v>533</v>
      </c>
      <c r="F305" s="178">
        <v>700</v>
      </c>
      <c r="G305" s="178">
        <v>15407</v>
      </c>
      <c r="H305" s="178">
        <v>6888</v>
      </c>
      <c r="I305" s="178">
        <v>8519</v>
      </c>
    </row>
    <row r="306" spans="1:9">
      <c r="A306" s="179" t="s">
        <v>429</v>
      </c>
      <c r="B306" s="179" t="s">
        <v>516</v>
      </c>
      <c r="C306" s="186">
        <v>38935</v>
      </c>
      <c r="D306" s="188">
        <f t="shared" si="7"/>
        <v>2006</v>
      </c>
      <c r="E306" s="183" t="s">
        <v>532</v>
      </c>
      <c r="F306" s="178">
        <v>500</v>
      </c>
      <c r="G306" s="178">
        <v>11235</v>
      </c>
      <c r="H306" s="178">
        <v>4920</v>
      </c>
      <c r="I306" s="178">
        <v>6315</v>
      </c>
    </row>
    <row r="307" spans="1:9">
      <c r="A307" s="179" t="s">
        <v>528</v>
      </c>
      <c r="B307" s="179" t="s">
        <v>516</v>
      </c>
      <c r="C307" s="186">
        <v>38936</v>
      </c>
      <c r="D307" s="188">
        <f t="shared" si="7"/>
        <v>2006</v>
      </c>
      <c r="E307" s="183" t="s">
        <v>532</v>
      </c>
      <c r="F307" s="178">
        <v>1000</v>
      </c>
      <c r="G307" s="178">
        <v>23080</v>
      </c>
      <c r="H307" s="178">
        <v>9840</v>
      </c>
      <c r="I307" s="178">
        <v>13240</v>
      </c>
    </row>
    <row r="308" spans="1:9">
      <c r="A308" s="179" t="s">
        <v>528</v>
      </c>
      <c r="B308" s="179" t="s">
        <v>516</v>
      </c>
      <c r="C308" s="186">
        <v>38942</v>
      </c>
      <c r="D308" s="188">
        <f t="shared" si="7"/>
        <v>2006</v>
      </c>
      <c r="E308" s="183" t="s">
        <v>539</v>
      </c>
      <c r="F308" s="178">
        <v>500</v>
      </c>
      <c r="G308" s="178">
        <v>11550</v>
      </c>
      <c r="H308" s="178">
        <v>4920</v>
      </c>
      <c r="I308" s="178">
        <v>6630</v>
      </c>
    </row>
    <row r="309" spans="1:9">
      <c r="A309" s="179" t="s">
        <v>528</v>
      </c>
      <c r="B309" s="179" t="s">
        <v>517</v>
      </c>
      <c r="C309" s="186">
        <v>38945</v>
      </c>
      <c r="D309" s="188">
        <f t="shared" si="7"/>
        <v>2006</v>
      </c>
      <c r="E309" s="183" t="s">
        <v>534</v>
      </c>
      <c r="F309" s="178">
        <v>500</v>
      </c>
      <c r="G309" s="178">
        <v>10330</v>
      </c>
      <c r="H309" s="178">
        <v>4235</v>
      </c>
      <c r="I309" s="178">
        <v>6095</v>
      </c>
    </row>
    <row r="310" spans="1:9">
      <c r="A310" s="179" t="s">
        <v>528</v>
      </c>
      <c r="B310" s="179" t="s">
        <v>517</v>
      </c>
      <c r="C310" s="186">
        <v>38952</v>
      </c>
      <c r="D310" s="188">
        <f t="shared" si="7"/>
        <v>2006</v>
      </c>
      <c r="E310" s="183" t="s">
        <v>530</v>
      </c>
      <c r="F310" s="178">
        <v>400</v>
      </c>
      <c r="G310" s="178">
        <v>8016</v>
      </c>
      <c r="H310" s="178">
        <v>3388</v>
      </c>
      <c r="I310" s="178">
        <v>4628</v>
      </c>
    </row>
    <row r="311" spans="1:9">
      <c r="A311" s="179" t="s">
        <v>423</v>
      </c>
      <c r="B311" s="179" t="s">
        <v>518</v>
      </c>
      <c r="C311" s="186">
        <v>38952</v>
      </c>
      <c r="D311" s="188">
        <f t="shared" si="7"/>
        <v>2006</v>
      </c>
      <c r="E311" s="183" t="s">
        <v>531</v>
      </c>
      <c r="F311" s="178">
        <v>200</v>
      </c>
      <c r="G311" s="178">
        <v>4388</v>
      </c>
      <c r="H311" s="178">
        <v>2044</v>
      </c>
      <c r="I311" s="178">
        <v>2344</v>
      </c>
    </row>
    <row r="312" spans="1:9">
      <c r="A312" s="179" t="s">
        <v>429</v>
      </c>
      <c r="B312" s="179" t="s">
        <v>516</v>
      </c>
      <c r="C312" s="186">
        <v>38952</v>
      </c>
      <c r="D312" s="188">
        <f t="shared" si="7"/>
        <v>2006</v>
      </c>
      <c r="E312" s="183" t="s">
        <v>529</v>
      </c>
      <c r="F312" s="178">
        <v>200</v>
      </c>
      <c r="G312" s="178">
        <v>4742</v>
      </c>
      <c r="H312" s="178">
        <v>1968</v>
      </c>
      <c r="I312" s="178">
        <v>2774</v>
      </c>
    </row>
    <row r="313" spans="1:9">
      <c r="A313" s="179" t="s">
        <v>429</v>
      </c>
      <c r="B313" s="179" t="s">
        <v>517</v>
      </c>
      <c r="C313" s="186">
        <v>38958</v>
      </c>
      <c r="D313" s="188">
        <f t="shared" si="7"/>
        <v>2006</v>
      </c>
      <c r="E313" s="183" t="s">
        <v>524</v>
      </c>
      <c r="F313" s="178">
        <v>1000</v>
      </c>
      <c r="G313" s="178">
        <v>19630</v>
      </c>
      <c r="H313" s="178">
        <v>8470</v>
      </c>
      <c r="I313" s="178">
        <v>11160</v>
      </c>
    </row>
    <row r="314" spans="1:9">
      <c r="A314" s="179" t="s">
        <v>423</v>
      </c>
      <c r="B314" s="179" t="s">
        <v>518</v>
      </c>
      <c r="C314" s="186">
        <v>38959</v>
      </c>
      <c r="D314" s="188">
        <f t="shared" si="7"/>
        <v>2006</v>
      </c>
      <c r="E314" s="183" t="s">
        <v>549</v>
      </c>
      <c r="F314" s="178">
        <v>300</v>
      </c>
      <c r="G314" s="178">
        <v>7032</v>
      </c>
      <c r="H314" s="178">
        <v>3066</v>
      </c>
      <c r="I314" s="178">
        <v>3966</v>
      </c>
    </row>
    <row r="315" spans="1:9">
      <c r="A315" s="179" t="s">
        <v>528</v>
      </c>
      <c r="B315" s="179" t="s">
        <v>516</v>
      </c>
      <c r="C315" s="186">
        <v>38963</v>
      </c>
      <c r="D315" s="188">
        <f t="shared" si="7"/>
        <v>2006</v>
      </c>
      <c r="E315" s="183" t="s">
        <v>530</v>
      </c>
      <c r="F315" s="178">
        <v>1000</v>
      </c>
      <c r="G315" s="178">
        <v>21800</v>
      </c>
      <c r="H315" s="178">
        <v>9840</v>
      </c>
      <c r="I315" s="178">
        <v>11960</v>
      </c>
    </row>
    <row r="316" spans="1:9">
      <c r="A316" s="179" t="s">
        <v>423</v>
      </c>
      <c r="B316" s="179" t="s">
        <v>516</v>
      </c>
      <c r="C316" s="186">
        <v>38964</v>
      </c>
      <c r="D316" s="188">
        <f t="shared" si="7"/>
        <v>2006</v>
      </c>
      <c r="E316" s="183" t="s">
        <v>537</v>
      </c>
      <c r="F316" s="178">
        <v>300</v>
      </c>
      <c r="G316" s="178">
        <v>6156</v>
      </c>
      <c r="H316" s="178">
        <v>2952</v>
      </c>
      <c r="I316" s="178">
        <v>3204</v>
      </c>
    </row>
    <row r="317" spans="1:9">
      <c r="A317" s="179" t="s">
        <v>429</v>
      </c>
      <c r="B317" s="179" t="s">
        <v>516</v>
      </c>
      <c r="C317" s="186">
        <v>38964</v>
      </c>
      <c r="D317" s="188">
        <f t="shared" si="7"/>
        <v>2006</v>
      </c>
      <c r="E317" s="183" t="s">
        <v>540</v>
      </c>
      <c r="F317" s="178">
        <v>200</v>
      </c>
      <c r="G317" s="178">
        <v>4282</v>
      </c>
      <c r="H317" s="178">
        <v>1968</v>
      </c>
      <c r="I317" s="178">
        <v>2314</v>
      </c>
    </row>
    <row r="318" spans="1:9">
      <c r="A318" s="179" t="s">
        <v>528</v>
      </c>
      <c r="B318" s="179" t="s">
        <v>516</v>
      </c>
      <c r="C318" s="186">
        <v>38965</v>
      </c>
      <c r="D318" s="188">
        <f t="shared" si="7"/>
        <v>2006</v>
      </c>
      <c r="E318" s="183" t="s">
        <v>543</v>
      </c>
      <c r="F318" s="178">
        <v>800</v>
      </c>
      <c r="G318" s="178">
        <v>19520</v>
      </c>
      <c r="H318" s="178">
        <v>7872</v>
      </c>
      <c r="I318" s="178">
        <v>11648</v>
      </c>
    </row>
    <row r="319" spans="1:9">
      <c r="A319" s="179" t="s">
        <v>528</v>
      </c>
      <c r="B319" s="179" t="s">
        <v>518</v>
      </c>
      <c r="C319" s="186">
        <v>38965</v>
      </c>
      <c r="D319" s="188">
        <f t="shared" si="7"/>
        <v>2006</v>
      </c>
      <c r="E319" s="183" t="s">
        <v>532</v>
      </c>
      <c r="F319" s="178">
        <v>700</v>
      </c>
      <c r="G319" s="178">
        <v>15834</v>
      </c>
      <c r="H319" s="178">
        <v>7154</v>
      </c>
      <c r="I319" s="178">
        <v>8680</v>
      </c>
    </row>
    <row r="320" spans="1:9">
      <c r="A320" s="179" t="s">
        <v>528</v>
      </c>
      <c r="B320" s="179" t="s">
        <v>516</v>
      </c>
      <c r="C320" s="186">
        <v>38966</v>
      </c>
      <c r="D320" s="188">
        <f t="shared" si="7"/>
        <v>2006</v>
      </c>
      <c r="E320" s="183" t="s">
        <v>532</v>
      </c>
      <c r="F320" s="178">
        <v>900</v>
      </c>
      <c r="G320" s="178">
        <v>19503</v>
      </c>
      <c r="H320" s="178">
        <v>8856</v>
      </c>
      <c r="I320" s="178">
        <v>10647</v>
      </c>
    </row>
    <row r="321" spans="1:9">
      <c r="A321" s="179" t="s">
        <v>528</v>
      </c>
      <c r="B321" s="179" t="s">
        <v>518</v>
      </c>
      <c r="C321" s="186">
        <v>38969</v>
      </c>
      <c r="D321" s="188">
        <f t="shared" si="7"/>
        <v>2006</v>
      </c>
      <c r="E321" s="183" t="s">
        <v>540</v>
      </c>
      <c r="F321" s="178">
        <v>400</v>
      </c>
      <c r="G321" s="178">
        <v>8876</v>
      </c>
      <c r="H321" s="178">
        <v>4088</v>
      </c>
      <c r="I321" s="178">
        <v>4788</v>
      </c>
    </row>
    <row r="322" spans="1:9">
      <c r="A322" s="179" t="s">
        <v>528</v>
      </c>
      <c r="B322" s="179" t="s">
        <v>516</v>
      </c>
      <c r="C322" s="186">
        <v>38976</v>
      </c>
      <c r="D322" s="188">
        <f t="shared" ref="D322:D385" si="8">YEAR(C322)</f>
        <v>2006</v>
      </c>
      <c r="E322" s="183" t="s">
        <v>527</v>
      </c>
      <c r="F322" s="178">
        <v>200</v>
      </c>
      <c r="G322" s="178">
        <v>4060</v>
      </c>
      <c r="H322" s="178">
        <v>1968</v>
      </c>
      <c r="I322" s="178">
        <v>2092</v>
      </c>
    </row>
    <row r="323" spans="1:9">
      <c r="A323" s="179" t="s">
        <v>528</v>
      </c>
      <c r="B323" s="179" t="s">
        <v>518</v>
      </c>
      <c r="C323" s="186">
        <v>38976</v>
      </c>
      <c r="D323" s="188">
        <f t="shared" si="8"/>
        <v>2006</v>
      </c>
      <c r="E323" s="183" t="s">
        <v>546</v>
      </c>
      <c r="F323" s="178">
        <v>200</v>
      </c>
      <c r="G323" s="178">
        <v>4948</v>
      </c>
      <c r="H323" s="178">
        <v>2044</v>
      </c>
      <c r="I323" s="178">
        <v>2904</v>
      </c>
    </row>
    <row r="324" spans="1:9">
      <c r="A324" s="179" t="s">
        <v>528</v>
      </c>
      <c r="B324" s="179" t="s">
        <v>517</v>
      </c>
      <c r="C324" s="186">
        <v>38976</v>
      </c>
      <c r="D324" s="188">
        <f t="shared" si="8"/>
        <v>2006</v>
      </c>
      <c r="E324" s="183" t="s">
        <v>532</v>
      </c>
      <c r="F324" s="178">
        <v>300</v>
      </c>
      <c r="G324" s="178">
        <v>5355</v>
      </c>
      <c r="H324" s="178">
        <v>2541</v>
      </c>
      <c r="I324" s="178">
        <v>2814</v>
      </c>
    </row>
    <row r="325" spans="1:9">
      <c r="A325" s="179" t="s">
        <v>429</v>
      </c>
      <c r="B325" s="179" t="s">
        <v>516</v>
      </c>
      <c r="C325" s="186">
        <v>38979</v>
      </c>
      <c r="D325" s="188">
        <f t="shared" si="8"/>
        <v>2006</v>
      </c>
      <c r="E325" s="183" t="s">
        <v>523</v>
      </c>
      <c r="F325" s="178">
        <v>200</v>
      </c>
      <c r="G325" s="178">
        <v>4866</v>
      </c>
      <c r="H325" s="178">
        <v>1968</v>
      </c>
      <c r="I325" s="178">
        <v>2898</v>
      </c>
    </row>
    <row r="326" spans="1:9">
      <c r="A326" s="179" t="s">
        <v>429</v>
      </c>
      <c r="B326" s="179" t="s">
        <v>517</v>
      </c>
      <c r="C326" s="186">
        <v>38982</v>
      </c>
      <c r="D326" s="188">
        <f t="shared" si="8"/>
        <v>2006</v>
      </c>
      <c r="E326" s="183" t="s">
        <v>537</v>
      </c>
      <c r="F326" s="178">
        <v>500</v>
      </c>
      <c r="G326" s="178">
        <v>9155</v>
      </c>
      <c r="H326" s="178">
        <v>4235</v>
      </c>
      <c r="I326" s="178">
        <v>4920</v>
      </c>
    </row>
    <row r="327" spans="1:9">
      <c r="A327" s="179" t="s">
        <v>528</v>
      </c>
      <c r="B327" s="179" t="s">
        <v>517</v>
      </c>
      <c r="C327" s="186">
        <v>38984</v>
      </c>
      <c r="D327" s="188">
        <f t="shared" si="8"/>
        <v>2006</v>
      </c>
      <c r="E327" s="183" t="s">
        <v>525</v>
      </c>
      <c r="F327" s="178">
        <v>500</v>
      </c>
      <c r="G327" s="178">
        <v>9350</v>
      </c>
      <c r="H327" s="178">
        <v>4235</v>
      </c>
      <c r="I327" s="178">
        <v>5115</v>
      </c>
    </row>
    <row r="328" spans="1:9">
      <c r="A328" s="179" t="s">
        <v>528</v>
      </c>
      <c r="B328" s="179" t="s">
        <v>517</v>
      </c>
      <c r="C328" s="186">
        <v>38986</v>
      </c>
      <c r="D328" s="188">
        <f t="shared" si="8"/>
        <v>2006</v>
      </c>
      <c r="E328" s="183" t="s">
        <v>533</v>
      </c>
      <c r="F328" s="178">
        <v>700</v>
      </c>
      <c r="G328" s="178">
        <v>13986</v>
      </c>
      <c r="H328" s="178">
        <v>5929</v>
      </c>
      <c r="I328" s="178">
        <v>8057</v>
      </c>
    </row>
    <row r="329" spans="1:9">
      <c r="A329" s="179" t="s">
        <v>429</v>
      </c>
      <c r="B329" s="179" t="s">
        <v>517</v>
      </c>
      <c r="C329" s="186">
        <v>38986</v>
      </c>
      <c r="D329" s="188">
        <f t="shared" si="8"/>
        <v>2006</v>
      </c>
      <c r="E329" s="183" t="s">
        <v>534</v>
      </c>
      <c r="F329" s="178">
        <v>400</v>
      </c>
      <c r="G329" s="178">
        <v>8128</v>
      </c>
      <c r="H329" s="178">
        <v>3388</v>
      </c>
      <c r="I329" s="178">
        <v>4740</v>
      </c>
    </row>
    <row r="330" spans="1:9">
      <c r="A330" s="179" t="s">
        <v>429</v>
      </c>
      <c r="B330" s="179" t="s">
        <v>518</v>
      </c>
      <c r="C330" s="186">
        <v>38987</v>
      </c>
      <c r="D330" s="188">
        <f t="shared" si="8"/>
        <v>2006</v>
      </c>
      <c r="E330" s="183" t="s">
        <v>547</v>
      </c>
      <c r="F330" s="178">
        <v>1000</v>
      </c>
      <c r="G330" s="178">
        <v>24420</v>
      </c>
      <c r="H330" s="178">
        <v>10220</v>
      </c>
      <c r="I330" s="178">
        <v>14200</v>
      </c>
    </row>
    <row r="331" spans="1:9">
      <c r="A331" s="179" t="s">
        <v>429</v>
      </c>
      <c r="B331" s="179" t="s">
        <v>516</v>
      </c>
      <c r="C331" s="186">
        <v>38989</v>
      </c>
      <c r="D331" s="188">
        <f t="shared" si="8"/>
        <v>2006</v>
      </c>
      <c r="E331" s="183" t="s">
        <v>530</v>
      </c>
      <c r="F331" s="178">
        <v>400</v>
      </c>
      <c r="G331" s="178">
        <v>8204</v>
      </c>
      <c r="H331" s="178">
        <v>3936</v>
      </c>
      <c r="I331" s="178">
        <v>4268</v>
      </c>
    </row>
    <row r="332" spans="1:9">
      <c r="A332" s="179" t="s">
        <v>528</v>
      </c>
      <c r="B332" s="179" t="s">
        <v>517</v>
      </c>
      <c r="C332" s="186">
        <v>38990</v>
      </c>
      <c r="D332" s="188">
        <f t="shared" si="8"/>
        <v>2006</v>
      </c>
      <c r="E332" s="183" t="s">
        <v>532</v>
      </c>
      <c r="F332" s="178">
        <v>400</v>
      </c>
      <c r="G332" s="178">
        <v>7180</v>
      </c>
      <c r="H332" s="178">
        <v>3388</v>
      </c>
      <c r="I332" s="178">
        <v>3792</v>
      </c>
    </row>
    <row r="333" spans="1:9">
      <c r="A333" s="179" t="s">
        <v>423</v>
      </c>
      <c r="B333" s="179" t="s">
        <v>518</v>
      </c>
      <c r="C333" s="186">
        <v>38991</v>
      </c>
      <c r="D333" s="188">
        <f t="shared" si="8"/>
        <v>2006</v>
      </c>
      <c r="E333" s="183" t="s">
        <v>533</v>
      </c>
      <c r="F333" s="178">
        <v>900</v>
      </c>
      <c r="G333" s="178">
        <v>22887</v>
      </c>
      <c r="H333" s="178">
        <v>9198</v>
      </c>
      <c r="I333" s="178">
        <v>13689</v>
      </c>
    </row>
    <row r="334" spans="1:9">
      <c r="A334" s="179" t="s">
        <v>528</v>
      </c>
      <c r="B334" s="179" t="s">
        <v>517</v>
      </c>
      <c r="C334" s="186">
        <v>38992</v>
      </c>
      <c r="D334" s="188">
        <f t="shared" si="8"/>
        <v>2006</v>
      </c>
      <c r="E334" s="183" t="s">
        <v>537</v>
      </c>
      <c r="F334" s="178">
        <v>500</v>
      </c>
      <c r="G334" s="178">
        <v>8715</v>
      </c>
      <c r="H334" s="178">
        <v>4235</v>
      </c>
      <c r="I334" s="178">
        <v>4480</v>
      </c>
    </row>
    <row r="335" spans="1:9">
      <c r="A335" s="179" t="s">
        <v>528</v>
      </c>
      <c r="B335" s="179" t="s">
        <v>517</v>
      </c>
      <c r="C335" s="186">
        <v>38994</v>
      </c>
      <c r="D335" s="188">
        <f t="shared" si="8"/>
        <v>2006</v>
      </c>
      <c r="E335" s="183" t="s">
        <v>533</v>
      </c>
      <c r="F335" s="178">
        <v>300</v>
      </c>
      <c r="G335" s="178">
        <v>5157</v>
      </c>
      <c r="H335" s="178">
        <v>2541</v>
      </c>
      <c r="I335" s="178">
        <v>2616</v>
      </c>
    </row>
    <row r="336" spans="1:9">
      <c r="A336" s="179" t="s">
        <v>429</v>
      </c>
      <c r="B336" s="179" t="s">
        <v>518</v>
      </c>
      <c r="C336" s="186">
        <v>38994</v>
      </c>
      <c r="D336" s="188">
        <f t="shared" si="8"/>
        <v>2006</v>
      </c>
      <c r="E336" s="183" t="s">
        <v>532</v>
      </c>
      <c r="F336" s="178">
        <v>400</v>
      </c>
      <c r="G336" s="178">
        <v>8580</v>
      </c>
      <c r="H336" s="178">
        <v>4088</v>
      </c>
      <c r="I336" s="178">
        <v>4492</v>
      </c>
    </row>
    <row r="337" spans="1:9">
      <c r="A337" s="179" t="s">
        <v>423</v>
      </c>
      <c r="B337" s="179" t="s">
        <v>516</v>
      </c>
      <c r="C337" s="186">
        <v>38997</v>
      </c>
      <c r="D337" s="188">
        <f t="shared" si="8"/>
        <v>2006</v>
      </c>
      <c r="E337" s="183" t="s">
        <v>537</v>
      </c>
      <c r="F337" s="178">
        <v>400</v>
      </c>
      <c r="G337" s="178">
        <v>8052</v>
      </c>
      <c r="H337" s="178">
        <v>3936</v>
      </c>
      <c r="I337" s="178">
        <v>4116</v>
      </c>
    </row>
    <row r="338" spans="1:9">
      <c r="A338" s="179" t="s">
        <v>429</v>
      </c>
      <c r="B338" s="179" t="s">
        <v>518</v>
      </c>
      <c r="C338" s="186">
        <v>38999</v>
      </c>
      <c r="D338" s="188">
        <f t="shared" si="8"/>
        <v>2006</v>
      </c>
      <c r="E338" s="183" t="s">
        <v>534</v>
      </c>
      <c r="F338" s="178">
        <v>300</v>
      </c>
      <c r="G338" s="178">
        <v>6744</v>
      </c>
      <c r="H338" s="178">
        <v>3066</v>
      </c>
      <c r="I338" s="178">
        <v>3678</v>
      </c>
    </row>
    <row r="339" spans="1:9">
      <c r="A339" s="179" t="s">
        <v>528</v>
      </c>
      <c r="B339" s="179" t="s">
        <v>517</v>
      </c>
      <c r="C339" s="186">
        <v>39000</v>
      </c>
      <c r="D339" s="188">
        <f t="shared" si="8"/>
        <v>2006</v>
      </c>
      <c r="E339" s="183" t="s">
        <v>533</v>
      </c>
      <c r="F339" s="178">
        <v>300</v>
      </c>
      <c r="G339" s="178">
        <v>5358</v>
      </c>
      <c r="H339" s="178">
        <v>2541</v>
      </c>
      <c r="I339" s="178">
        <v>2817</v>
      </c>
    </row>
    <row r="340" spans="1:9">
      <c r="A340" s="179" t="s">
        <v>429</v>
      </c>
      <c r="B340" s="179" t="s">
        <v>516</v>
      </c>
      <c r="C340" s="186">
        <v>39004</v>
      </c>
      <c r="D340" s="188">
        <f t="shared" si="8"/>
        <v>2006</v>
      </c>
      <c r="E340" s="183" t="s">
        <v>550</v>
      </c>
      <c r="F340" s="178">
        <v>800</v>
      </c>
      <c r="G340" s="178">
        <v>18552</v>
      </c>
      <c r="H340" s="178">
        <v>7872</v>
      </c>
      <c r="I340" s="178">
        <v>10680</v>
      </c>
    </row>
    <row r="341" spans="1:9">
      <c r="A341" s="179" t="s">
        <v>528</v>
      </c>
      <c r="B341" s="179" t="s">
        <v>516</v>
      </c>
      <c r="C341" s="186">
        <v>39006</v>
      </c>
      <c r="D341" s="188">
        <f t="shared" si="8"/>
        <v>2006</v>
      </c>
      <c r="E341" s="183" t="s">
        <v>547</v>
      </c>
      <c r="F341" s="178">
        <v>1000</v>
      </c>
      <c r="G341" s="178">
        <v>22140</v>
      </c>
      <c r="H341" s="178">
        <v>9840</v>
      </c>
      <c r="I341" s="178">
        <v>12300</v>
      </c>
    </row>
    <row r="342" spans="1:9">
      <c r="A342" s="179" t="s">
        <v>429</v>
      </c>
      <c r="B342" s="179" t="s">
        <v>517</v>
      </c>
      <c r="C342" s="186">
        <v>39007</v>
      </c>
      <c r="D342" s="188">
        <f t="shared" si="8"/>
        <v>2006</v>
      </c>
      <c r="E342" s="183" t="s">
        <v>525</v>
      </c>
      <c r="F342" s="178">
        <v>800</v>
      </c>
      <c r="G342" s="178">
        <v>15592</v>
      </c>
      <c r="H342" s="178">
        <v>6776</v>
      </c>
      <c r="I342" s="178">
        <v>8816</v>
      </c>
    </row>
    <row r="343" spans="1:9">
      <c r="A343" s="179" t="s">
        <v>429</v>
      </c>
      <c r="B343" s="179" t="s">
        <v>517</v>
      </c>
      <c r="C343" s="186">
        <v>39008</v>
      </c>
      <c r="D343" s="188">
        <f t="shared" si="8"/>
        <v>2006</v>
      </c>
      <c r="E343" s="183" t="s">
        <v>529</v>
      </c>
      <c r="F343" s="178">
        <v>100</v>
      </c>
      <c r="G343" s="178">
        <v>1982</v>
      </c>
      <c r="H343" s="178">
        <v>847</v>
      </c>
      <c r="I343" s="178">
        <v>1135</v>
      </c>
    </row>
    <row r="344" spans="1:9">
      <c r="A344" s="179" t="s">
        <v>423</v>
      </c>
      <c r="B344" s="179" t="s">
        <v>517</v>
      </c>
      <c r="C344" s="186">
        <v>39010</v>
      </c>
      <c r="D344" s="188">
        <f t="shared" si="8"/>
        <v>2006</v>
      </c>
      <c r="E344" s="183" t="s">
        <v>523</v>
      </c>
      <c r="F344" s="178">
        <v>300</v>
      </c>
      <c r="G344" s="178">
        <v>6063</v>
      </c>
      <c r="H344" s="178">
        <v>2541</v>
      </c>
      <c r="I344" s="178">
        <v>3522</v>
      </c>
    </row>
    <row r="345" spans="1:9">
      <c r="A345" s="179" t="s">
        <v>528</v>
      </c>
      <c r="B345" s="179" t="s">
        <v>518</v>
      </c>
      <c r="C345" s="186">
        <v>39011</v>
      </c>
      <c r="D345" s="188">
        <f t="shared" si="8"/>
        <v>2006</v>
      </c>
      <c r="E345" s="183" t="s">
        <v>533</v>
      </c>
      <c r="F345" s="178">
        <v>300</v>
      </c>
      <c r="G345" s="178">
        <v>6660</v>
      </c>
      <c r="H345" s="178">
        <v>3066</v>
      </c>
      <c r="I345" s="178">
        <v>3594</v>
      </c>
    </row>
    <row r="346" spans="1:9">
      <c r="A346" s="179" t="s">
        <v>528</v>
      </c>
      <c r="B346" s="179" t="s">
        <v>517</v>
      </c>
      <c r="C346" s="186">
        <v>39015</v>
      </c>
      <c r="D346" s="188">
        <f t="shared" si="8"/>
        <v>2006</v>
      </c>
      <c r="E346" s="183" t="s">
        <v>533</v>
      </c>
      <c r="F346" s="178">
        <v>600</v>
      </c>
      <c r="G346" s="178">
        <v>11700</v>
      </c>
      <c r="H346" s="178">
        <v>5082</v>
      </c>
      <c r="I346" s="178">
        <v>6618</v>
      </c>
    </row>
    <row r="347" spans="1:9">
      <c r="A347" s="179" t="s">
        <v>429</v>
      </c>
      <c r="B347" s="179" t="s">
        <v>518</v>
      </c>
      <c r="C347" s="186">
        <v>39017</v>
      </c>
      <c r="D347" s="188">
        <f t="shared" si="8"/>
        <v>2006</v>
      </c>
      <c r="E347" s="183" t="s">
        <v>531</v>
      </c>
      <c r="F347" s="178">
        <v>500</v>
      </c>
      <c r="G347" s="178">
        <v>12425</v>
      </c>
      <c r="H347" s="178">
        <v>5110</v>
      </c>
      <c r="I347" s="178">
        <v>7315</v>
      </c>
    </row>
    <row r="348" spans="1:9">
      <c r="A348" s="179" t="s">
        <v>528</v>
      </c>
      <c r="B348" s="179" t="s">
        <v>516</v>
      </c>
      <c r="C348" s="186">
        <v>39024</v>
      </c>
      <c r="D348" s="188">
        <f t="shared" si="8"/>
        <v>2006</v>
      </c>
      <c r="E348" s="183" t="s">
        <v>529</v>
      </c>
      <c r="F348" s="178">
        <v>600</v>
      </c>
      <c r="G348" s="178">
        <v>12282</v>
      </c>
      <c r="H348" s="178">
        <v>5904</v>
      </c>
      <c r="I348" s="178">
        <v>6378</v>
      </c>
    </row>
    <row r="349" spans="1:9">
      <c r="A349" s="179" t="s">
        <v>429</v>
      </c>
      <c r="B349" s="179" t="s">
        <v>518</v>
      </c>
      <c r="C349" s="186">
        <v>39024</v>
      </c>
      <c r="D349" s="188">
        <f t="shared" si="8"/>
        <v>2006</v>
      </c>
      <c r="E349" s="183" t="s">
        <v>544</v>
      </c>
      <c r="F349" s="178">
        <v>400</v>
      </c>
      <c r="G349" s="178">
        <v>9152</v>
      </c>
      <c r="H349" s="178">
        <v>4088</v>
      </c>
      <c r="I349" s="178">
        <v>5064</v>
      </c>
    </row>
    <row r="350" spans="1:9">
      <c r="A350" s="179" t="s">
        <v>429</v>
      </c>
      <c r="B350" s="179" t="s">
        <v>516</v>
      </c>
      <c r="C350" s="186">
        <v>39025</v>
      </c>
      <c r="D350" s="188">
        <f t="shared" si="8"/>
        <v>2006</v>
      </c>
      <c r="E350" s="183" t="s">
        <v>534</v>
      </c>
      <c r="F350" s="178">
        <v>500</v>
      </c>
      <c r="G350" s="178">
        <v>11725</v>
      </c>
      <c r="H350" s="178">
        <v>4920</v>
      </c>
      <c r="I350" s="178">
        <v>6805</v>
      </c>
    </row>
    <row r="351" spans="1:9">
      <c r="A351" s="179" t="s">
        <v>528</v>
      </c>
      <c r="B351" s="179" t="s">
        <v>517</v>
      </c>
      <c r="C351" s="186">
        <v>39027</v>
      </c>
      <c r="D351" s="188">
        <f t="shared" si="8"/>
        <v>2006</v>
      </c>
      <c r="E351" s="183" t="s">
        <v>534</v>
      </c>
      <c r="F351" s="178">
        <v>100</v>
      </c>
      <c r="G351" s="178">
        <v>2111</v>
      </c>
      <c r="H351" s="178">
        <v>847</v>
      </c>
      <c r="I351" s="178">
        <v>1264</v>
      </c>
    </row>
    <row r="352" spans="1:9">
      <c r="A352" s="179" t="s">
        <v>423</v>
      </c>
      <c r="B352" s="179" t="s">
        <v>517</v>
      </c>
      <c r="C352" s="186">
        <v>39028</v>
      </c>
      <c r="D352" s="188">
        <f t="shared" si="8"/>
        <v>2006</v>
      </c>
      <c r="E352" s="183" t="s">
        <v>533</v>
      </c>
      <c r="F352" s="178">
        <v>200</v>
      </c>
      <c r="G352" s="178">
        <v>3876</v>
      </c>
      <c r="H352" s="178">
        <v>1694</v>
      </c>
      <c r="I352" s="178">
        <v>2182</v>
      </c>
    </row>
    <row r="353" spans="1:9">
      <c r="A353" s="179" t="s">
        <v>423</v>
      </c>
      <c r="B353" s="179" t="s">
        <v>516</v>
      </c>
      <c r="C353" s="186">
        <v>39029</v>
      </c>
      <c r="D353" s="188">
        <f t="shared" si="8"/>
        <v>2006</v>
      </c>
      <c r="E353" s="183" t="s">
        <v>530</v>
      </c>
      <c r="F353" s="178">
        <v>100</v>
      </c>
      <c r="G353" s="178">
        <v>2410</v>
      </c>
      <c r="H353" s="178">
        <v>984</v>
      </c>
      <c r="I353" s="178">
        <v>1426</v>
      </c>
    </row>
    <row r="354" spans="1:9">
      <c r="A354" s="179" t="s">
        <v>423</v>
      </c>
      <c r="B354" s="179" t="s">
        <v>517</v>
      </c>
      <c r="C354" s="186">
        <v>39030</v>
      </c>
      <c r="D354" s="188">
        <f t="shared" si="8"/>
        <v>2006</v>
      </c>
      <c r="E354" s="183" t="s">
        <v>531</v>
      </c>
      <c r="F354" s="178">
        <v>100</v>
      </c>
      <c r="G354" s="178">
        <v>1878</v>
      </c>
      <c r="H354" s="178">
        <v>847</v>
      </c>
      <c r="I354" s="178">
        <v>1031</v>
      </c>
    </row>
    <row r="355" spans="1:9">
      <c r="A355" s="179" t="s">
        <v>423</v>
      </c>
      <c r="B355" s="179" t="s">
        <v>518</v>
      </c>
      <c r="C355" s="186">
        <v>39033</v>
      </c>
      <c r="D355" s="188">
        <f t="shared" si="8"/>
        <v>2006</v>
      </c>
      <c r="E355" s="183" t="s">
        <v>524</v>
      </c>
      <c r="F355" s="178">
        <v>400</v>
      </c>
      <c r="G355" s="178">
        <v>8732</v>
      </c>
      <c r="H355" s="178">
        <v>4088</v>
      </c>
      <c r="I355" s="178">
        <v>4644</v>
      </c>
    </row>
    <row r="356" spans="1:9">
      <c r="A356" s="179" t="s">
        <v>423</v>
      </c>
      <c r="B356" s="179" t="s">
        <v>518</v>
      </c>
      <c r="C356" s="186">
        <v>39034</v>
      </c>
      <c r="D356" s="188">
        <f t="shared" si="8"/>
        <v>2006</v>
      </c>
      <c r="E356" s="183" t="s">
        <v>550</v>
      </c>
      <c r="F356" s="178">
        <v>800</v>
      </c>
      <c r="G356" s="178">
        <v>17728</v>
      </c>
      <c r="H356" s="178">
        <v>8176</v>
      </c>
      <c r="I356" s="178">
        <v>9552</v>
      </c>
    </row>
    <row r="357" spans="1:9">
      <c r="A357" s="179" t="s">
        <v>423</v>
      </c>
      <c r="B357" s="179" t="s">
        <v>518</v>
      </c>
      <c r="C357" s="186">
        <v>39034</v>
      </c>
      <c r="D357" s="188">
        <f t="shared" si="8"/>
        <v>2006</v>
      </c>
      <c r="E357" s="183" t="s">
        <v>524</v>
      </c>
      <c r="F357" s="178">
        <v>900</v>
      </c>
      <c r="G357" s="178">
        <v>18666</v>
      </c>
      <c r="H357" s="178">
        <v>9198</v>
      </c>
      <c r="I357" s="178">
        <v>9468</v>
      </c>
    </row>
    <row r="358" spans="1:9">
      <c r="A358" s="179" t="s">
        <v>423</v>
      </c>
      <c r="B358" s="179" t="s">
        <v>516</v>
      </c>
      <c r="C358" s="186">
        <v>39036</v>
      </c>
      <c r="D358" s="188">
        <f t="shared" si="8"/>
        <v>2006</v>
      </c>
      <c r="E358" s="183" t="s">
        <v>523</v>
      </c>
      <c r="F358" s="178">
        <v>400</v>
      </c>
      <c r="G358" s="178">
        <v>8776</v>
      </c>
      <c r="H358" s="178">
        <v>3936</v>
      </c>
      <c r="I358" s="178">
        <v>4840</v>
      </c>
    </row>
    <row r="359" spans="1:9">
      <c r="A359" s="179" t="s">
        <v>528</v>
      </c>
      <c r="B359" s="179" t="s">
        <v>516</v>
      </c>
      <c r="C359" s="186">
        <v>39038</v>
      </c>
      <c r="D359" s="188">
        <f t="shared" si="8"/>
        <v>2006</v>
      </c>
      <c r="E359" s="183" t="s">
        <v>525</v>
      </c>
      <c r="F359" s="178">
        <v>500</v>
      </c>
      <c r="G359" s="178">
        <v>11660</v>
      </c>
      <c r="H359" s="178">
        <v>4920</v>
      </c>
      <c r="I359" s="178">
        <v>6740</v>
      </c>
    </row>
    <row r="360" spans="1:9">
      <c r="A360" s="179" t="s">
        <v>423</v>
      </c>
      <c r="B360" s="179" t="s">
        <v>516</v>
      </c>
      <c r="C360" s="186">
        <v>39038</v>
      </c>
      <c r="D360" s="188">
        <f t="shared" si="8"/>
        <v>2006</v>
      </c>
      <c r="E360" s="183" t="s">
        <v>537</v>
      </c>
      <c r="F360" s="178">
        <v>800</v>
      </c>
      <c r="G360" s="178">
        <v>18904</v>
      </c>
      <c r="H360" s="178">
        <v>7872</v>
      </c>
      <c r="I360" s="178">
        <v>11032</v>
      </c>
    </row>
    <row r="361" spans="1:9">
      <c r="A361" s="179" t="s">
        <v>429</v>
      </c>
      <c r="B361" s="179" t="s">
        <v>516</v>
      </c>
      <c r="C361" s="186">
        <v>39038</v>
      </c>
      <c r="D361" s="188">
        <f t="shared" si="8"/>
        <v>2006</v>
      </c>
      <c r="E361" s="183" t="s">
        <v>533</v>
      </c>
      <c r="F361" s="178">
        <v>700</v>
      </c>
      <c r="G361" s="178">
        <v>16170</v>
      </c>
      <c r="H361" s="178">
        <v>6888</v>
      </c>
      <c r="I361" s="178">
        <v>9282</v>
      </c>
    </row>
    <row r="362" spans="1:9">
      <c r="A362" s="179" t="s">
        <v>429</v>
      </c>
      <c r="B362" s="179" t="s">
        <v>517</v>
      </c>
      <c r="C362" s="186">
        <v>39039</v>
      </c>
      <c r="D362" s="188">
        <f t="shared" si="8"/>
        <v>2006</v>
      </c>
      <c r="E362" s="183" t="s">
        <v>533</v>
      </c>
      <c r="F362" s="178">
        <v>400</v>
      </c>
      <c r="G362" s="178">
        <v>8132</v>
      </c>
      <c r="H362" s="178">
        <v>3388</v>
      </c>
      <c r="I362" s="178">
        <v>4744</v>
      </c>
    </row>
    <row r="363" spans="1:9">
      <c r="A363" s="179" t="s">
        <v>528</v>
      </c>
      <c r="B363" s="179" t="s">
        <v>517</v>
      </c>
      <c r="C363" s="186">
        <v>39039</v>
      </c>
      <c r="D363" s="188">
        <f t="shared" si="8"/>
        <v>2006</v>
      </c>
      <c r="E363" s="183" t="s">
        <v>532</v>
      </c>
      <c r="F363" s="178">
        <v>300</v>
      </c>
      <c r="G363" s="178">
        <v>5508</v>
      </c>
      <c r="H363" s="178">
        <v>2541</v>
      </c>
      <c r="I363" s="178">
        <v>2967</v>
      </c>
    </row>
    <row r="364" spans="1:9">
      <c r="A364" s="179" t="s">
        <v>429</v>
      </c>
      <c r="B364" s="179" t="s">
        <v>517</v>
      </c>
      <c r="C364" s="186">
        <v>39040</v>
      </c>
      <c r="D364" s="188">
        <f t="shared" si="8"/>
        <v>2006</v>
      </c>
      <c r="E364" s="183" t="s">
        <v>524</v>
      </c>
      <c r="F364" s="178">
        <v>200</v>
      </c>
      <c r="G364" s="178">
        <v>4012</v>
      </c>
      <c r="H364" s="178">
        <v>1694</v>
      </c>
      <c r="I364" s="178">
        <v>2318</v>
      </c>
    </row>
    <row r="365" spans="1:9">
      <c r="A365" s="179" t="s">
        <v>429</v>
      </c>
      <c r="B365" s="179" t="s">
        <v>516</v>
      </c>
      <c r="C365" s="186">
        <v>39042</v>
      </c>
      <c r="D365" s="188">
        <f t="shared" si="8"/>
        <v>2006</v>
      </c>
      <c r="E365" s="183" t="s">
        <v>534</v>
      </c>
      <c r="F365" s="178">
        <v>700</v>
      </c>
      <c r="G365" s="178">
        <v>16765</v>
      </c>
      <c r="H365" s="178">
        <v>6888</v>
      </c>
      <c r="I365" s="178">
        <v>9877</v>
      </c>
    </row>
    <row r="366" spans="1:9">
      <c r="A366" s="179" t="s">
        <v>429</v>
      </c>
      <c r="B366" s="179" t="s">
        <v>517</v>
      </c>
      <c r="C366" s="186">
        <v>39043</v>
      </c>
      <c r="D366" s="188">
        <f t="shared" si="8"/>
        <v>2006</v>
      </c>
      <c r="E366" s="183" t="s">
        <v>537</v>
      </c>
      <c r="F366" s="178">
        <v>600</v>
      </c>
      <c r="G366" s="178">
        <v>11274</v>
      </c>
      <c r="H366" s="178">
        <v>5082</v>
      </c>
      <c r="I366" s="178">
        <v>6192</v>
      </c>
    </row>
    <row r="367" spans="1:9">
      <c r="A367" s="179" t="s">
        <v>528</v>
      </c>
      <c r="B367" s="179" t="s">
        <v>518</v>
      </c>
      <c r="C367" s="186">
        <v>39046</v>
      </c>
      <c r="D367" s="188">
        <f t="shared" si="8"/>
        <v>2006</v>
      </c>
      <c r="E367" s="183" t="s">
        <v>529</v>
      </c>
      <c r="F367" s="178">
        <v>600</v>
      </c>
      <c r="G367" s="178">
        <v>13542</v>
      </c>
      <c r="H367" s="178">
        <v>6132</v>
      </c>
      <c r="I367" s="178">
        <v>7410</v>
      </c>
    </row>
    <row r="368" spans="1:9">
      <c r="A368" s="179" t="s">
        <v>528</v>
      </c>
      <c r="B368" s="179" t="s">
        <v>517</v>
      </c>
      <c r="C368" s="186">
        <v>39047</v>
      </c>
      <c r="D368" s="188">
        <f t="shared" si="8"/>
        <v>2006</v>
      </c>
      <c r="E368" s="183" t="s">
        <v>529</v>
      </c>
      <c r="F368" s="178">
        <v>400</v>
      </c>
      <c r="G368" s="178">
        <v>7852</v>
      </c>
      <c r="H368" s="178">
        <v>3388</v>
      </c>
      <c r="I368" s="178">
        <v>4464</v>
      </c>
    </row>
    <row r="369" spans="1:9">
      <c r="A369" s="179" t="s">
        <v>528</v>
      </c>
      <c r="B369" s="179" t="s">
        <v>518</v>
      </c>
      <c r="C369" s="186">
        <v>39048</v>
      </c>
      <c r="D369" s="188">
        <f t="shared" si="8"/>
        <v>2006</v>
      </c>
      <c r="E369" s="183" t="s">
        <v>530</v>
      </c>
      <c r="F369" s="178">
        <v>500</v>
      </c>
      <c r="G369" s="178">
        <v>10400</v>
      </c>
      <c r="H369" s="178">
        <v>5110</v>
      </c>
      <c r="I369" s="178">
        <v>5290</v>
      </c>
    </row>
    <row r="370" spans="1:9">
      <c r="A370" s="179" t="s">
        <v>423</v>
      </c>
      <c r="B370" s="179" t="s">
        <v>517</v>
      </c>
      <c r="C370" s="186">
        <v>39048</v>
      </c>
      <c r="D370" s="188">
        <f t="shared" si="8"/>
        <v>2006</v>
      </c>
      <c r="E370" s="183" t="s">
        <v>535</v>
      </c>
      <c r="F370" s="178">
        <v>1000</v>
      </c>
      <c r="G370" s="178">
        <v>17250</v>
      </c>
      <c r="H370" s="178">
        <v>8470</v>
      </c>
      <c r="I370" s="178">
        <v>8780</v>
      </c>
    </row>
    <row r="371" spans="1:9">
      <c r="A371" s="179" t="s">
        <v>528</v>
      </c>
      <c r="B371" s="179" t="s">
        <v>516</v>
      </c>
      <c r="C371" s="186">
        <v>39055</v>
      </c>
      <c r="D371" s="188">
        <f t="shared" si="8"/>
        <v>2006</v>
      </c>
      <c r="E371" s="183" t="s">
        <v>530</v>
      </c>
      <c r="F371" s="178">
        <v>500</v>
      </c>
      <c r="G371" s="178">
        <v>11430</v>
      </c>
      <c r="H371" s="178">
        <v>4920</v>
      </c>
      <c r="I371" s="178">
        <v>6510</v>
      </c>
    </row>
    <row r="372" spans="1:9">
      <c r="A372" s="179" t="s">
        <v>528</v>
      </c>
      <c r="B372" s="179" t="s">
        <v>518</v>
      </c>
      <c r="C372" s="186">
        <v>39062</v>
      </c>
      <c r="D372" s="188">
        <f t="shared" si="8"/>
        <v>2006</v>
      </c>
      <c r="E372" s="183" t="s">
        <v>531</v>
      </c>
      <c r="F372" s="178">
        <v>200</v>
      </c>
      <c r="G372" s="178">
        <v>4722</v>
      </c>
      <c r="H372" s="178">
        <v>2044</v>
      </c>
      <c r="I372" s="178">
        <v>2678</v>
      </c>
    </row>
    <row r="373" spans="1:9">
      <c r="A373" s="179" t="s">
        <v>528</v>
      </c>
      <c r="B373" s="179" t="s">
        <v>516</v>
      </c>
      <c r="C373" s="186">
        <v>39066</v>
      </c>
      <c r="D373" s="188">
        <f t="shared" si="8"/>
        <v>2006</v>
      </c>
      <c r="E373" s="183" t="s">
        <v>525</v>
      </c>
      <c r="F373" s="178">
        <v>900</v>
      </c>
      <c r="G373" s="178">
        <v>21546</v>
      </c>
      <c r="H373" s="178">
        <v>8856</v>
      </c>
      <c r="I373" s="178">
        <v>12690</v>
      </c>
    </row>
    <row r="374" spans="1:9">
      <c r="A374" s="179" t="s">
        <v>423</v>
      </c>
      <c r="B374" s="179" t="s">
        <v>517</v>
      </c>
      <c r="C374" s="186">
        <v>39067</v>
      </c>
      <c r="D374" s="188">
        <f t="shared" si="8"/>
        <v>2006</v>
      </c>
      <c r="E374" s="183" t="s">
        <v>523</v>
      </c>
      <c r="F374" s="178">
        <v>800</v>
      </c>
      <c r="G374" s="178">
        <v>15400</v>
      </c>
      <c r="H374" s="178">
        <v>6776</v>
      </c>
      <c r="I374" s="178">
        <v>8624</v>
      </c>
    </row>
    <row r="375" spans="1:9">
      <c r="A375" s="179" t="s">
        <v>429</v>
      </c>
      <c r="B375" s="179" t="s">
        <v>516</v>
      </c>
      <c r="C375" s="186">
        <v>39069</v>
      </c>
      <c r="D375" s="188">
        <f t="shared" si="8"/>
        <v>2006</v>
      </c>
      <c r="E375" s="183" t="s">
        <v>531</v>
      </c>
      <c r="F375" s="178">
        <v>100</v>
      </c>
      <c r="G375" s="178">
        <v>2319</v>
      </c>
      <c r="H375" s="178">
        <v>984</v>
      </c>
      <c r="I375" s="178">
        <v>1335</v>
      </c>
    </row>
    <row r="376" spans="1:9">
      <c r="A376" s="179" t="s">
        <v>429</v>
      </c>
      <c r="B376" s="179" t="s">
        <v>516</v>
      </c>
      <c r="C376" s="186">
        <v>39071</v>
      </c>
      <c r="D376" s="188">
        <f t="shared" si="8"/>
        <v>2006</v>
      </c>
      <c r="E376" s="183" t="s">
        <v>530</v>
      </c>
      <c r="F376" s="178">
        <v>700</v>
      </c>
      <c r="G376" s="178">
        <v>13867</v>
      </c>
      <c r="H376" s="178">
        <v>6888</v>
      </c>
      <c r="I376" s="178">
        <v>6979</v>
      </c>
    </row>
    <row r="377" spans="1:9">
      <c r="A377" s="179" t="s">
        <v>423</v>
      </c>
      <c r="B377" s="179" t="s">
        <v>517</v>
      </c>
      <c r="C377" s="186">
        <v>39072</v>
      </c>
      <c r="D377" s="188">
        <f t="shared" si="8"/>
        <v>2006</v>
      </c>
      <c r="E377" s="183" t="s">
        <v>533</v>
      </c>
      <c r="F377" s="178">
        <v>1000</v>
      </c>
      <c r="G377" s="178">
        <v>19530</v>
      </c>
      <c r="H377" s="178">
        <v>8470</v>
      </c>
      <c r="I377" s="178">
        <v>11060</v>
      </c>
    </row>
    <row r="378" spans="1:9">
      <c r="A378" s="179" t="s">
        <v>429</v>
      </c>
      <c r="B378" s="179" t="s">
        <v>517</v>
      </c>
      <c r="C378" s="186">
        <v>39076</v>
      </c>
      <c r="D378" s="188">
        <f t="shared" si="8"/>
        <v>2006</v>
      </c>
      <c r="E378" s="183" t="s">
        <v>525</v>
      </c>
      <c r="F378" s="178">
        <v>200</v>
      </c>
      <c r="G378" s="178">
        <v>4192</v>
      </c>
      <c r="H378" s="178">
        <v>1694</v>
      </c>
      <c r="I378" s="178">
        <v>2498</v>
      </c>
    </row>
    <row r="379" spans="1:9">
      <c r="A379" s="179" t="s">
        <v>429</v>
      </c>
      <c r="B379" s="179" t="s">
        <v>518</v>
      </c>
      <c r="C379" s="186">
        <v>39077</v>
      </c>
      <c r="D379" s="188">
        <f t="shared" si="8"/>
        <v>2006</v>
      </c>
      <c r="E379" s="183" t="s">
        <v>534</v>
      </c>
      <c r="F379" s="178">
        <v>900</v>
      </c>
      <c r="G379" s="178">
        <v>19539</v>
      </c>
      <c r="H379" s="178">
        <v>9198</v>
      </c>
      <c r="I379" s="178">
        <v>10341</v>
      </c>
    </row>
    <row r="380" spans="1:9">
      <c r="A380" s="179" t="s">
        <v>429</v>
      </c>
      <c r="B380" s="179" t="s">
        <v>517</v>
      </c>
      <c r="C380" s="186">
        <v>39080</v>
      </c>
      <c r="D380" s="188">
        <f t="shared" si="8"/>
        <v>2006</v>
      </c>
      <c r="E380" s="183" t="s">
        <v>531</v>
      </c>
      <c r="F380" s="178">
        <v>900</v>
      </c>
      <c r="G380" s="178">
        <v>17289</v>
      </c>
      <c r="H380" s="178">
        <v>7623</v>
      </c>
      <c r="I380" s="178">
        <v>9666</v>
      </c>
    </row>
    <row r="381" spans="1:9">
      <c r="A381" s="179" t="s">
        <v>429</v>
      </c>
      <c r="B381" s="179" t="s">
        <v>518</v>
      </c>
      <c r="C381" s="186">
        <v>39081</v>
      </c>
      <c r="D381" s="188">
        <f t="shared" si="8"/>
        <v>2006</v>
      </c>
      <c r="E381" s="183" t="s">
        <v>524</v>
      </c>
      <c r="F381" s="178">
        <v>500</v>
      </c>
      <c r="G381" s="178">
        <v>10650</v>
      </c>
      <c r="H381" s="178">
        <v>5110</v>
      </c>
      <c r="I381" s="178">
        <v>5540</v>
      </c>
    </row>
    <row r="382" spans="1:9">
      <c r="A382" s="179" t="s">
        <v>528</v>
      </c>
      <c r="B382" s="179" t="s">
        <v>516</v>
      </c>
      <c r="C382" s="186">
        <v>39082</v>
      </c>
      <c r="D382" s="188">
        <f t="shared" si="8"/>
        <v>2006</v>
      </c>
      <c r="E382" s="183" t="s">
        <v>532</v>
      </c>
      <c r="F382" s="178">
        <v>200</v>
      </c>
      <c r="G382" s="178">
        <v>4132</v>
      </c>
      <c r="H382" s="178">
        <v>1968</v>
      </c>
      <c r="I382" s="178">
        <v>2164</v>
      </c>
    </row>
    <row r="383" spans="1:9">
      <c r="A383" s="179" t="s">
        <v>528</v>
      </c>
      <c r="B383" s="179" t="s">
        <v>516</v>
      </c>
      <c r="C383" s="186">
        <v>39083</v>
      </c>
      <c r="D383" s="188">
        <f t="shared" si="8"/>
        <v>2007</v>
      </c>
      <c r="E383" s="183" t="s">
        <v>545</v>
      </c>
      <c r="F383" s="178">
        <v>800</v>
      </c>
      <c r="G383" s="178">
        <v>16784</v>
      </c>
      <c r="H383" s="178">
        <v>7872</v>
      </c>
      <c r="I383" s="178">
        <v>8912</v>
      </c>
    </row>
    <row r="384" spans="1:9">
      <c r="A384" s="179" t="s">
        <v>528</v>
      </c>
      <c r="B384" s="179" t="s">
        <v>517</v>
      </c>
      <c r="C384" s="186">
        <v>39083</v>
      </c>
      <c r="D384" s="188">
        <f t="shared" si="8"/>
        <v>2007</v>
      </c>
      <c r="E384" s="183" t="s">
        <v>523</v>
      </c>
      <c r="F384" s="178">
        <v>300</v>
      </c>
      <c r="G384" s="178">
        <v>5886</v>
      </c>
      <c r="H384" s="178">
        <v>2541</v>
      </c>
      <c r="I384" s="178">
        <v>3345</v>
      </c>
    </row>
    <row r="385" spans="1:9">
      <c r="A385" s="179" t="s">
        <v>528</v>
      </c>
      <c r="B385" s="179" t="s">
        <v>518</v>
      </c>
      <c r="C385" s="186">
        <v>39084</v>
      </c>
      <c r="D385" s="188">
        <f t="shared" si="8"/>
        <v>2007</v>
      </c>
      <c r="E385" s="183" t="s">
        <v>533</v>
      </c>
      <c r="F385" s="178">
        <v>600</v>
      </c>
      <c r="G385" s="178">
        <v>13680</v>
      </c>
      <c r="H385" s="178">
        <v>6132</v>
      </c>
      <c r="I385" s="178">
        <v>7548</v>
      </c>
    </row>
    <row r="386" spans="1:9">
      <c r="A386" s="179" t="s">
        <v>528</v>
      </c>
      <c r="B386" s="179" t="s">
        <v>518</v>
      </c>
      <c r="C386" s="186">
        <v>39085</v>
      </c>
      <c r="D386" s="188">
        <f t="shared" ref="D386:D449" si="9">YEAR(C386)</f>
        <v>2007</v>
      </c>
      <c r="E386" s="183" t="s">
        <v>524</v>
      </c>
      <c r="F386" s="178">
        <v>100</v>
      </c>
      <c r="G386" s="178">
        <v>2092</v>
      </c>
      <c r="H386" s="178">
        <v>1022</v>
      </c>
      <c r="I386" s="178">
        <v>1070</v>
      </c>
    </row>
    <row r="387" spans="1:9">
      <c r="A387" s="179" t="s">
        <v>429</v>
      </c>
      <c r="B387" s="179" t="s">
        <v>516</v>
      </c>
      <c r="C387" s="186">
        <v>39085</v>
      </c>
      <c r="D387" s="188">
        <f t="shared" si="9"/>
        <v>2007</v>
      </c>
      <c r="E387" s="183" t="s">
        <v>532</v>
      </c>
      <c r="F387" s="178">
        <v>1000</v>
      </c>
      <c r="G387" s="178">
        <v>23040</v>
      </c>
      <c r="H387" s="178">
        <v>9840</v>
      </c>
      <c r="I387" s="178">
        <v>13200</v>
      </c>
    </row>
    <row r="388" spans="1:9">
      <c r="A388" s="179" t="s">
        <v>528</v>
      </c>
      <c r="B388" s="179" t="s">
        <v>517</v>
      </c>
      <c r="C388" s="186">
        <v>39086</v>
      </c>
      <c r="D388" s="188">
        <f t="shared" si="9"/>
        <v>2007</v>
      </c>
      <c r="E388" s="183" t="s">
        <v>523</v>
      </c>
      <c r="F388" s="178">
        <v>800</v>
      </c>
      <c r="G388" s="178">
        <v>15544</v>
      </c>
      <c r="H388" s="178">
        <v>6776</v>
      </c>
      <c r="I388" s="178">
        <v>8768</v>
      </c>
    </row>
    <row r="389" spans="1:9">
      <c r="A389" s="179" t="s">
        <v>423</v>
      </c>
      <c r="B389" s="179" t="s">
        <v>518</v>
      </c>
      <c r="C389" s="186">
        <v>39087</v>
      </c>
      <c r="D389" s="188">
        <f t="shared" si="9"/>
        <v>2007</v>
      </c>
      <c r="E389" s="183" t="s">
        <v>530</v>
      </c>
      <c r="F389" s="178">
        <v>400</v>
      </c>
      <c r="G389" s="178">
        <v>8284</v>
      </c>
      <c r="H389" s="178">
        <v>4088</v>
      </c>
      <c r="I389" s="178">
        <v>4196</v>
      </c>
    </row>
    <row r="390" spans="1:9">
      <c r="A390" s="179" t="s">
        <v>423</v>
      </c>
      <c r="B390" s="179" t="s">
        <v>517</v>
      </c>
      <c r="C390" s="186">
        <v>39097</v>
      </c>
      <c r="D390" s="188">
        <f t="shared" si="9"/>
        <v>2007</v>
      </c>
      <c r="E390" s="183" t="s">
        <v>533</v>
      </c>
      <c r="F390" s="178">
        <v>700</v>
      </c>
      <c r="G390" s="178">
        <v>12145</v>
      </c>
      <c r="H390" s="178">
        <v>5929</v>
      </c>
      <c r="I390" s="178">
        <v>6216</v>
      </c>
    </row>
    <row r="391" spans="1:9">
      <c r="A391" s="179" t="s">
        <v>429</v>
      </c>
      <c r="B391" s="179" t="s">
        <v>518</v>
      </c>
      <c r="C391" s="186">
        <v>39098</v>
      </c>
      <c r="D391" s="188">
        <f t="shared" si="9"/>
        <v>2007</v>
      </c>
      <c r="E391" s="183" t="s">
        <v>533</v>
      </c>
      <c r="F391" s="178">
        <v>900</v>
      </c>
      <c r="G391" s="178">
        <v>21456</v>
      </c>
      <c r="H391" s="178">
        <v>9198</v>
      </c>
      <c r="I391" s="178">
        <v>12258</v>
      </c>
    </row>
    <row r="392" spans="1:9">
      <c r="A392" s="179" t="s">
        <v>528</v>
      </c>
      <c r="B392" s="179" t="s">
        <v>516</v>
      </c>
      <c r="C392" s="186">
        <v>39099</v>
      </c>
      <c r="D392" s="188">
        <f t="shared" si="9"/>
        <v>2007</v>
      </c>
      <c r="E392" s="183" t="s">
        <v>529</v>
      </c>
      <c r="F392" s="178">
        <v>800</v>
      </c>
      <c r="G392" s="178">
        <v>17416</v>
      </c>
      <c r="H392" s="178">
        <v>7872</v>
      </c>
      <c r="I392" s="178">
        <v>9544</v>
      </c>
    </row>
    <row r="393" spans="1:9">
      <c r="A393" s="179" t="s">
        <v>423</v>
      </c>
      <c r="B393" s="179" t="s">
        <v>517</v>
      </c>
      <c r="C393" s="186">
        <v>39101</v>
      </c>
      <c r="D393" s="188">
        <f t="shared" si="9"/>
        <v>2007</v>
      </c>
      <c r="E393" s="183" t="s">
        <v>523</v>
      </c>
      <c r="F393" s="178">
        <v>100</v>
      </c>
      <c r="G393" s="178">
        <v>1741</v>
      </c>
      <c r="H393" s="178">
        <v>847</v>
      </c>
      <c r="I393" s="178">
        <v>894</v>
      </c>
    </row>
    <row r="394" spans="1:9">
      <c r="A394" s="179" t="s">
        <v>429</v>
      </c>
      <c r="B394" s="179" t="s">
        <v>518</v>
      </c>
      <c r="C394" s="186">
        <v>39103</v>
      </c>
      <c r="D394" s="188">
        <f t="shared" si="9"/>
        <v>2007</v>
      </c>
      <c r="E394" s="183" t="s">
        <v>533</v>
      </c>
      <c r="F394" s="178">
        <v>100</v>
      </c>
      <c r="G394" s="178">
        <v>2234</v>
      </c>
      <c r="H394" s="178">
        <v>1022</v>
      </c>
      <c r="I394" s="178">
        <v>1212</v>
      </c>
    </row>
    <row r="395" spans="1:9">
      <c r="A395" s="179" t="s">
        <v>423</v>
      </c>
      <c r="B395" s="179" t="s">
        <v>517</v>
      </c>
      <c r="C395" s="186">
        <v>39104</v>
      </c>
      <c r="D395" s="188">
        <f t="shared" si="9"/>
        <v>2007</v>
      </c>
      <c r="E395" s="183" t="s">
        <v>525</v>
      </c>
      <c r="F395" s="178">
        <v>800</v>
      </c>
      <c r="G395" s="178">
        <v>15488</v>
      </c>
      <c r="H395" s="178">
        <v>6776</v>
      </c>
      <c r="I395" s="178">
        <v>8712</v>
      </c>
    </row>
    <row r="396" spans="1:9">
      <c r="A396" s="179" t="s">
        <v>423</v>
      </c>
      <c r="B396" s="179" t="s">
        <v>518</v>
      </c>
      <c r="C396" s="186">
        <v>39104</v>
      </c>
      <c r="D396" s="188">
        <f t="shared" si="9"/>
        <v>2007</v>
      </c>
      <c r="E396" s="183" t="s">
        <v>531</v>
      </c>
      <c r="F396" s="178">
        <v>100</v>
      </c>
      <c r="G396" s="178">
        <v>2178</v>
      </c>
      <c r="H396" s="178">
        <v>1022</v>
      </c>
      <c r="I396" s="178">
        <v>1156</v>
      </c>
    </row>
    <row r="397" spans="1:9">
      <c r="A397" s="179" t="s">
        <v>429</v>
      </c>
      <c r="B397" s="179" t="s">
        <v>516</v>
      </c>
      <c r="C397" s="186">
        <v>39107</v>
      </c>
      <c r="D397" s="188">
        <f t="shared" si="9"/>
        <v>2007</v>
      </c>
      <c r="E397" s="183" t="s">
        <v>533</v>
      </c>
      <c r="F397" s="178">
        <v>700</v>
      </c>
      <c r="G397" s="178">
        <v>17150</v>
      </c>
      <c r="H397" s="178">
        <v>6888</v>
      </c>
      <c r="I397" s="178">
        <v>10262</v>
      </c>
    </row>
    <row r="398" spans="1:9">
      <c r="A398" s="179" t="s">
        <v>423</v>
      </c>
      <c r="B398" s="179" t="s">
        <v>516</v>
      </c>
      <c r="C398" s="186">
        <v>39108</v>
      </c>
      <c r="D398" s="188">
        <f t="shared" si="9"/>
        <v>2007</v>
      </c>
      <c r="E398" s="183" t="s">
        <v>525</v>
      </c>
      <c r="F398" s="178">
        <v>800</v>
      </c>
      <c r="G398" s="178">
        <v>16936</v>
      </c>
      <c r="H398" s="178">
        <v>7872</v>
      </c>
      <c r="I398" s="178">
        <v>9064</v>
      </c>
    </row>
    <row r="399" spans="1:9">
      <c r="A399" s="179" t="s">
        <v>429</v>
      </c>
      <c r="B399" s="179" t="s">
        <v>516</v>
      </c>
      <c r="C399" s="186">
        <v>39109</v>
      </c>
      <c r="D399" s="188">
        <f t="shared" si="9"/>
        <v>2007</v>
      </c>
      <c r="E399" s="183" t="s">
        <v>523</v>
      </c>
      <c r="F399" s="178">
        <v>900</v>
      </c>
      <c r="G399" s="178">
        <v>21708</v>
      </c>
      <c r="H399" s="178">
        <v>8856</v>
      </c>
      <c r="I399" s="178">
        <v>12852</v>
      </c>
    </row>
    <row r="400" spans="1:9">
      <c r="A400" s="179" t="s">
        <v>423</v>
      </c>
      <c r="B400" s="179" t="s">
        <v>517</v>
      </c>
      <c r="C400" s="186">
        <v>39110</v>
      </c>
      <c r="D400" s="188">
        <f t="shared" si="9"/>
        <v>2007</v>
      </c>
      <c r="E400" s="183" t="s">
        <v>532</v>
      </c>
      <c r="F400" s="178">
        <v>300</v>
      </c>
      <c r="G400" s="178">
        <v>5532</v>
      </c>
      <c r="H400" s="178">
        <v>2541</v>
      </c>
      <c r="I400" s="178">
        <v>2991</v>
      </c>
    </row>
    <row r="401" spans="1:9">
      <c r="A401" s="179" t="s">
        <v>429</v>
      </c>
      <c r="B401" s="179" t="s">
        <v>516</v>
      </c>
      <c r="C401" s="186">
        <v>39114</v>
      </c>
      <c r="D401" s="188">
        <f t="shared" si="9"/>
        <v>2007</v>
      </c>
      <c r="E401" s="183" t="s">
        <v>524</v>
      </c>
      <c r="F401" s="178">
        <v>100</v>
      </c>
      <c r="G401" s="178">
        <v>2054</v>
      </c>
      <c r="H401" s="178">
        <v>984</v>
      </c>
      <c r="I401" s="178">
        <v>1070</v>
      </c>
    </row>
    <row r="402" spans="1:9">
      <c r="A402" s="179" t="s">
        <v>528</v>
      </c>
      <c r="B402" s="179" t="s">
        <v>518</v>
      </c>
      <c r="C402" s="186">
        <v>39116</v>
      </c>
      <c r="D402" s="188">
        <f t="shared" si="9"/>
        <v>2007</v>
      </c>
      <c r="E402" s="183" t="s">
        <v>525</v>
      </c>
      <c r="F402" s="178">
        <v>400</v>
      </c>
      <c r="G402" s="178">
        <v>10044</v>
      </c>
      <c r="H402" s="178">
        <v>4088</v>
      </c>
      <c r="I402" s="178">
        <v>5956</v>
      </c>
    </row>
    <row r="403" spans="1:9">
      <c r="A403" s="179" t="s">
        <v>429</v>
      </c>
      <c r="B403" s="179" t="s">
        <v>518</v>
      </c>
      <c r="C403" s="186">
        <v>39121</v>
      </c>
      <c r="D403" s="188">
        <f t="shared" si="9"/>
        <v>2007</v>
      </c>
      <c r="E403" s="183" t="s">
        <v>523</v>
      </c>
      <c r="F403" s="178">
        <v>200</v>
      </c>
      <c r="G403" s="178">
        <v>4784</v>
      </c>
      <c r="H403" s="178">
        <v>2044</v>
      </c>
      <c r="I403" s="178">
        <v>2740</v>
      </c>
    </row>
    <row r="404" spans="1:9">
      <c r="A404" s="179" t="s">
        <v>528</v>
      </c>
      <c r="B404" s="179" t="s">
        <v>518</v>
      </c>
      <c r="C404" s="186">
        <v>39122</v>
      </c>
      <c r="D404" s="188">
        <f t="shared" si="9"/>
        <v>2007</v>
      </c>
      <c r="E404" s="183" t="s">
        <v>536</v>
      </c>
      <c r="F404" s="178">
        <v>200</v>
      </c>
      <c r="G404" s="178">
        <v>4614</v>
      </c>
      <c r="H404" s="178">
        <v>2044</v>
      </c>
      <c r="I404" s="178">
        <v>2570</v>
      </c>
    </row>
    <row r="405" spans="1:9">
      <c r="A405" s="179" t="s">
        <v>423</v>
      </c>
      <c r="B405" s="179" t="s">
        <v>518</v>
      </c>
      <c r="C405" s="186">
        <v>39123</v>
      </c>
      <c r="D405" s="188">
        <f t="shared" si="9"/>
        <v>2007</v>
      </c>
      <c r="E405" s="183" t="s">
        <v>525</v>
      </c>
      <c r="F405" s="178">
        <v>300</v>
      </c>
      <c r="G405" s="178">
        <v>6765</v>
      </c>
      <c r="H405" s="178">
        <v>3066</v>
      </c>
      <c r="I405" s="178">
        <v>3699</v>
      </c>
    </row>
    <row r="406" spans="1:9">
      <c r="A406" s="179" t="s">
        <v>423</v>
      </c>
      <c r="B406" s="179" t="s">
        <v>517</v>
      </c>
      <c r="C406" s="186">
        <v>39125</v>
      </c>
      <c r="D406" s="188">
        <f t="shared" si="9"/>
        <v>2007</v>
      </c>
      <c r="E406" s="183" t="s">
        <v>525</v>
      </c>
      <c r="F406" s="178">
        <v>700</v>
      </c>
      <c r="G406" s="178">
        <v>13412</v>
      </c>
      <c r="H406" s="178">
        <v>5929</v>
      </c>
      <c r="I406" s="178">
        <v>7483</v>
      </c>
    </row>
    <row r="407" spans="1:9">
      <c r="A407" s="179" t="s">
        <v>528</v>
      </c>
      <c r="B407" s="179" t="s">
        <v>516</v>
      </c>
      <c r="C407" s="186">
        <v>39125</v>
      </c>
      <c r="D407" s="188">
        <f t="shared" si="9"/>
        <v>2007</v>
      </c>
      <c r="E407" s="183" t="s">
        <v>523</v>
      </c>
      <c r="F407" s="178">
        <v>600</v>
      </c>
      <c r="G407" s="178">
        <v>12888</v>
      </c>
      <c r="H407" s="178">
        <v>5904</v>
      </c>
      <c r="I407" s="178">
        <v>6984</v>
      </c>
    </row>
    <row r="408" spans="1:9">
      <c r="A408" s="179" t="s">
        <v>429</v>
      </c>
      <c r="B408" s="179" t="s">
        <v>518</v>
      </c>
      <c r="C408" s="186">
        <v>39126</v>
      </c>
      <c r="D408" s="188">
        <f t="shared" si="9"/>
        <v>2007</v>
      </c>
      <c r="E408" s="183" t="s">
        <v>530</v>
      </c>
      <c r="F408" s="178">
        <v>1000</v>
      </c>
      <c r="G408" s="178">
        <v>22020</v>
      </c>
      <c r="H408" s="178">
        <v>10220</v>
      </c>
      <c r="I408" s="178">
        <v>11800</v>
      </c>
    </row>
    <row r="409" spans="1:9">
      <c r="A409" s="179" t="s">
        <v>528</v>
      </c>
      <c r="B409" s="179" t="s">
        <v>517</v>
      </c>
      <c r="C409" s="186">
        <v>39127</v>
      </c>
      <c r="D409" s="188">
        <f t="shared" si="9"/>
        <v>2007</v>
      </c>
      <c r="E409" s="183" t="s">
        <v>529</v>
      </c>
      <c r="F409" s="178">
        <v>700</v>
      </c>
      <c r="G409" s="178">
        <v>13552</v>
      </c>
      <c r="H409" s="178">
        <v>5929</v>
      </c>
      <c r="I409" s="178">
        <v>7623</v>
      </c>
    </row>
    <row r="410" spans="1:9">
      <c r="A410" s="179" t="s">
        <v>429</v>
      </c>
      <c r="B410" s="179" t="s">
        <v>516</v>
      </c>
      <c r="C410" s="186">
        <v>39131</v>
      </c>
      <c r="D410" s="188">
        <f t="shared" si="9"/>
        <v>2007</v>
      </c>
      <c r="E410" s="183" t="s">
        <v>534</v>
      </c>
      <c r="F410" s="178">
        <v>500</v>
      </c>
      <c r="G410" s="178">
        <v>11860</v>
      </c>
      <c r="H410" s="178">
        <v>4920</v>
      </c>
      <c r="I410" s="178">
        <v>6940</v>
      </c>
    </row>
    <row r="411" spans="1:9">
      <c r="A411" s="179" t="s">
        <v>429</v>
      </c>
      <c r="B411" s="179" t="s">
        <v>518</v>
      </c>
      <c r="C411" s="186">
        <v>39135</v>
      </c>
      <c r="D411" s="188">
        <f t="shared" si="9"/>
        <v>2007</v>
      </c>
      <c r="E411" s="183" t="s">
        <v>525</v>
      </c>
      <c r="F411" s="178">
        <v>200</v>
      </c>
      <c r="G411" s="178">
        <v>4124</v>
      </c>
      <c r="H411" s="178">
        <v>2044</v>
      </c>
      <c r="I411" s="178">
        <v>2080</v>
      </c>
    </row>
    <row r="412" spans="1:9">
      <c r="A412" s="179" t="s">
        <v>429</v>
      </c>
      <c r="B412" s="179" t="s">
        <v>516</v>
      </c>
      <c r="C412" s="186">
        <v>39135</v>
      </c>
      <c r="D412" s="188">
        <f t="shared" si="9"/>
        <v>2007</v>
      </c>
      <c r="E412" s="183" t="s">
        <v>533</v>
      </c>
      <c r="F412" s="178">
        <v>100</v>
      </c>
      <c r="G412" s="178">
        <v>2106</v>
      </c>
      <c r="H412" s="178">
        <v>984</v>
      </c>
      <c r="I412" s="178">
        <v>1122</v>
      </c>
    </row>
    <row r="413" spans="1:9">
      <c r="A413" s="179" t="s">
        <v>528</v>
      </c>
      <c r="B413" s="179" t="s">
        <v>518</v>
      </c>
      <c r="C413" s="186">
        <v>39141</v>
      </c>
      <c r="D413" s="188">
        <f t="shared" si="9"/>
        <v>2007</v>
      </c>
      <c r="E413" s="183" t="s">
        <v>550</v>
      </c>
      <c r="F413" s="178">
        <v>100</v>
      </c>
      <c r="G413" s="178">
        <v>2484</v>
      </c>
      <c r="H413" s="178">
        <v>1022</v>
      </c>
      <c r="I413" s="178">
        <v>1462</v>
      </c>
    </row>
    <row r="414" spans="1:9">
      <c r="A414" s="179" t="s">
        <v>429</v>
      </c>
      <c r="B414" s="179" t="s">
        <v>518</v>
      </c>
      <c r="C414" s="186">
        <v>39143</v>
      </c>
      <c r="D414" s="188">
        <f t="shared" si="9"/>
        <v>2007</v>
      </c>
      <c r="E414" s="183" t="s">
        <v>534</v>
      </c>
      <c r="F414" s="178">
        <v>300</v>
      </c>
      <c r="G414" s="178">
        <v>6732</v>
      </c>
      <c r="H414" s="178">
        <v>3066</v>
      </c>
      <c r="I414" s="178">
        <v>3666</v>
      </c>
    </row>
    <row r="415" spans="1:9">
      <c r="A415" s="179" t="s">
        <v>429</v>
      </c>
      <c r="B415" s="179" t="s">
        <v>518</v>
      </c>
      <c r="C415" s="186">
        <v>39150</v>
      </c>
      <c r="D415" s="188">
        <f t="shared" si="9"/>
        <v>2007</v>
      </c>
      <c r="E415" s="183" t="s">
        <v>532</v>
      </c>
      <c r="F415" s="178">
        <v>700</v>
      </c>
      <c r="G415" s="178">
        <v>15715</v>
      </c>
      <c r="H415" s="178">
        <v>7154</v>
      </c>
      <c r="I415" s="178">
        <v>8561</v>
      </c>
    </row>
    <row r="416" spans="1:9">
      <c r="A416" s="179" t="s">
        <v>429</v>
      </c>
      <c r="B416" s="179" t="s">
        <v>517</v>
      </c>
      <c r="C416" s="186">
        <v>39152</v>
      </c>
      <c r="D416" s="188">
        <f t="shared" si="9"/>
        <v>2007</v>
      </c>
      <c r="E416" s="183" t="s">
        <v>537</v>
      </c>
      <c r="F416" s="178">
        <v>700</v>
      </c>
      <c r="G416" s="178">
        <v>14133</v>
      </c>
      <c r="H416" s="178">
        <v>5929</v>
      </c>
      <c r="I416" s="178">
        <v>8204</v>
      </c>
    </row>
    <row r="417" spans="1:9">
      <c r="A417" s="179" t="s">
        <v>429</v>
      </c>
      <c r="B417" s="179" t="s">
        <v>516</v>
      </c>
      <c r="C417" s="186">
        <v>39153</v>
      </c>
      <c r="D417" s="188">
        <f t="shared" si="9"/>
        <v>2007</v>
      </c>
      <c r="E417" s="183" t="s">
        <v>525</v>
      </c>
      <c r="F417" s="178">
        <v>600</v>
      </c>
      <c r="G417" s="178">
        <v>12690</v>
      </c>
      <c r="H417" s="178">
        <v>5904</v>
      </c>
      <c r="I417" s="178">
        <v>6786</v>
      </c>
    </row>
    <row r="418" spans="1:9">
      <c r="A418" s="179" t="s">
        <v>528</v>
      </c>
      <c r="B418" s="179" t="s">
        <v>518</v>
      </c>
      <c r="C418" s="186">
        <v>39153</v>
      </c>
      <c r="D418" s="188">
        <f t="shared" si="9"/>
        <v>2007</v>
      </c>
      <c r="E418" s="183" t="s">
        <v>531</v>
      </c>
      <c r="F418" s="178">
        <v>900</v>
      </c>
      <c r="G418" s="178">
        <v>21159</v>
      </c>
      <c r="H418" s="178">
        <v>9198</v>
      </c>
      <c r="I418" s="178">
        <v>11961</v>
      </c>
    </row>
    <row r="419" spans="1:9">
      <c r="A419" s="179" t="s">
        <v>423</v>
      </c>
      <c r="B419" s="179" t="s">
        <v>516</v>
      </c>
      <c r="C419" s="186">
        <v>39153</v>
      </c>
      <c r="D419" s="188">
        <f t="shared" si="9"/>
        <v>2007</v>
      </c>
      <c r="E419" s="183" t="s">
        <v>534</v>
      </c>
      <c r="F419" s="178">
        <v>1000</v>
      </c>
      <c r="G419" s="178">
        <v>20190</v>
      </c>
      <c r="H419" s="178">
        <v>9840</v>
      </c>
      <c r="I419" s="178">
        <v>10350</v>
      </c>
    </row>
    <row r="420" spans="1:9">
      <c r="A420" s="179" t="s">
        <v>423</v>
      </c>
      <c r="B420" s="179" t="s">
        <v>516</v>
      </c>
      <c r="C420" s="186">
        <v>39154</v>
      </c>
      <c r="D420" s="188">
        <f t="shared" si="9"/>
        <v>2007</v>
      </c>
      <c r="E420" s="183" t="s">
        <v>531</v>
      </c>
      <c r="F420" s="178">
        <v>200</v>
      </c>
      <c r="G420" s="178">
        <v>4412</v>
      </c>
      <c r="H420" s="178">
        <v>1968</v>
      </c>
      <c r="I420" s="178">
        <v>2444</v>
      </c>
    </row>
    <row r="421" spans="1:9">
      <c r="A421" s="179" t="s">
        <v>429</v>
      </c>
      <c r="B421" s="179" t="s">
        <v>518</v>
      </c>
      <c r="C421" s="186">
        <v>39155</v>
      </c>
      <c r="D421" s="188">
        <f t="shared" si="9"/>
        <v>2007</v>
      </c>
      <c r="E421" s="183" t="s">
        <v>533</v>
      </c>
      <c r="F421" s="178">
        <v>700</v>
      </c>
      <c r="G421" s="178">
        <v>17059</v>
      </c>
      <c r="H421" s="178">
        <v>7154</v>
      </c>
      <c r="I421" s="178">
        <v>9905</v>
      </c>
    </row>
    <row r="422" spans="1:9">
      <c r="A422" s="179" t="s">
        <v>429</v>
      </c>
      <c r="B422" s="179" t="s">
        <v>518</v>
      </c>
      <c r="C422" s="186">
        <v>39156</v>
      </c>
      <c r="D422" s="188">
        <f t="shared" si="9"/>
        <v>2007</v>
      </c>
      <c r="E422" s="183" t="s">
        <v>525</v>
      </c>
      <c r="F422" s="178">
        <v>500</v>
      </c>
      <c r="G422" s="178">
        <v>10990</v>
      </c>
      <c r="H422" s="178">
        <v>5110</v>
      </c>
      <c r="I422" s="178">
        <v>5880</v>
      </c>
    </row>
    <row r="423" spans="1:9">
      <c r="A423" s="179" t="s">
        <v>528</v>
      </c>
      <c r="B423" s="179" t="s">
        <v>517</v>
      </c>
      <c r="C423" s="186">
        <v>39156</v>
      </c>
      <c r="D423" s="188">
        <f t="shared" si="9"/>
        <v>2007</v>
      </c>
      <c r="E423" s="183" t="s">
        <v>533</v>
      </c>
      <c r="F423" s="178">
        <v>1000</v>
      </c>
      <c r="G423" s="178">
        <v>17200</v>
      </c>
      <c r="H423" s="178">
        <v>8470</v>
      </c>
      <c r="I423" s="178">
        <v>8730</v>
      </c>
    </row>
    <row r="424" spans="1:9">
      <c r="A424" s="179" t="s">
        <v>429</v>
      </c>
      <c r="B424" s="179" t="s">
        <v>517</v>
      </c>
      <c r="C424" s="186">
        <v>39156</v>
      </c>
      <c r="D424" s="188">
        <f t="shared" si="9"/>
        <v>2007</v>
      </c>
      <c r="E424" s="183" t="s">
        <v>532</v>
      </c>
      <c r="F424" s="178">
        <v>700</v>
      </c>
      <c r="G424" s="178">
        <v>13139</v>
      </c>
      <c r="H424" s="178">
        <v>5929</v>
      </c>
      <c r="I424" s="178">
        <v>7210</v>
      </c>
    </row>
    <row r="425" spans="1:9">
      <c r="A425" s="179" t="s">
        <v>423</v>
      </c>
      <c r="B425" s="179" t="s">
        <v>517</v>
      </c>
      <c r="C425" s="186">
        <v>39157</v>
      </c>
      <c r="D425" s="188">
        <f t="shared" si="9"/>
        <v>2007</v>
      </c>
      <c r="E425" s="183" t="s">
        <v>532</v>
      </c>
      <c r="F425" s="178">
        <v>300</v>
      </c>
      <c r="G425" s="178">
        <v>6207</v>
      </c>
      <c r="H425" s="178">
        <v>2541</v>
      </c>
      <c r="I425" s="178">
        <v>3666</v>
      </c>
    </row>
    <row r="426" spans="1:9">
      <c r="A426" s="179" t="s">
        <v>528</v>
      </c>
      <c r="B426" s="179" t="s">
        <v>516</v>
      </c>
      <c r="C426" s="186">
        <v>39159</v>
      </c>
      <c r="D426" s="188">
        <f t="shared" si="9"/>
        <v>2007</v>
      </c>
      <c r="E426" s="183" t="s">
        <v>544</v>
      </c>
      <c r="F426" s="178">
        <v>200</v>
      </c>
      <c r="G426" s="178">
        <v>4270</v>
      </c>
      <c r="H426" s="178">
        <v>1968</v>
      </c>
      <c r="I426" s="178">
        <v>2302</v>
      </c>
    </row>
    <row r="427" spans="1:9">
      <c r="A427" s="179" t="s">
        <v>528</v>
      </c>
      <c r="B427" s="179" t="s">
        <v>516</v>
      </c>
      <c r="C427" s="186">
        <v>39161</v>
      </c>
      <c r="D427" s="188">
        <f t="shared" si="9"/>
        <v>2007</v>
      </c>
      <c r="E427" s="183" t="s">
        <v>532</v>
      </c>
      <c r="F427" s="178">
        <v>600</v>
      </c>
      <c r="G427" s="178">
        <v>14004</v>
      </c>
      <c r="H427" s="178">
        <v>5904</v>
      </c>
      <c r="I427" s="178">
        <v>8100</v>
      </c>
    </row>
    <row r="428" spans="1:9">
      <c r="A428" s="179" t="s">
        <v>429</v>
      </c>
      <c r="B428" s="179" t="s">
        <v>516</v>
      </c>
      <c r="C428" s="186">
        <v>39161</v>
      </c>
      <c r="D428" s="188">
        <f t="shared" si="9"/>
        <v>2007</v>
      </c>
      <c r="E428" s="183" t="s">
        <v>532</v>
      </c>
      <c r="F428" s="178">
        <v>900</v>
      </c>
      <c r="G428" s="178">
        <v>20403</v>
      </c>
      <c r="H428" s="178">
        <v>8856</v>
      </c>
      <c r="I428" s="178">
        <v>11547</v>
      </c>
    </row>
    <row r="429" spans="1:9">
      <c r="A429" s="179" t="s">
        <v>528</v>
      </c>
      <c r="B429" s="179" t="s">
        <v>516</v>
      </c>
      <c r="C429" s="186">
        <v>39167</v>
      </c>
      <c r="D429" s="188">
        <f t="shared" si="9"/>
        <v>2007</v>
      </c>
      <c r="E429" s="183" t="s">
        <v>525</v>
      </c>
      <c r="F429" s="178">
        <v>1000</v>
      </c>
      <c r="G429" s="178">
        <v>20020</v>
      </c>
      <c r="H429" s="178">
        <v>9840</v>
      </c>
      <c r="I429" s="178">
        <v>10180</v>
      </c>
    </row>
    <row r="430" spans="1:9">
      <c r="A430" s="179" t="s">
        <v>423</v>
      </c>
      <c r="B430" s="179" t="s">
        <v>517</v>
      </c>
      <c r="C430" s="186">
        <v>39170</v>
      </c>
      <c r="D430" s="188">
        <f t="shared" si="9"/>
        <v>2007</v>
      </c>
      <c r="E430" s="183" t="s">
        <v>529</v>
      </c>
      <c r="F430" s="178">
        <v>800</v>
      </c>
      <c r="G430" s="178">
        <v>14216</v>
      </c>
      <c r="H430" s="178">
        <v>6776</v>
      </c>
      <c r="I430" s="178">
        <v>7440</v>
      </c>
    </row>
    <row r="431" spans="1:9">
      <c r="A431" s="179" t="s">
        <v>429</v>
      </c>
      <c r="B431" s="179" t="s">
        <v>516</v>
      </c>
      <c r="C431" s="186">
        <v>39172</v>
      </c>
      <c r="D431" s="188">
        <f t="shared" si="9"/>
        <v>2007</v>
      </c>
      <c r="E431" s="183" t="s">
        <v>532</v>
      </c>
      <c r="F431" s="178">
        <v>700</v>
      </c>
      <c r="G431" s="178">
        <v>16772</v>
      </c>
      <c r="H431" s="178">
        <v>6888</v>
      </c>
      <c r="I431" s="178">
        <v>9884</v>
      </c>
    </row>
    <row r="432" spans="1:9">
      <c r="A432" s="179" t="s">
        <v>429</v>
      </c>
      <c r="B432" s="179" t="s">
        <v>518</v>
      </c>
      <c r="C432" s="186">
        <v>39173</v>
      </c>
      <c r="D432" s="188">
        <f t="shared" si="9"/>
        <v>2007</v>
      </c>
      <c r="E432" s="183" t="s">
        <v>539</v>
      </c>
      <c r="F432" s="178">
        <v>900</v>
      </c>
      <c r="G432" s="178">
        <v>21015</v>
      </c>
      <c r="H432" s="178">
        <v>9198</v>
      </c>
      <c r="I432" s="178">
        <v>11817</v>
      </c>
    </row>
    <row r="433" spans="1:9">
      <c r="A433" s="179" t="s">
        <v>423</v>
      </c>
      <c r="B433" s="179" t="s">
        <v>517</v>
      </c>
      <c r="C433" s="186">
        <v>39174</v>
      </c>
      <c r="D433" s="188">
        <f t="shared" si="9"/>
        <v>2007</v>
      </c>
      <c r="E433" s="183" t="s">
        <v>550</v>
      </c>
      <c r="F433" s="178">
        <v>200</v>
      </c>
      <c r="G433" s="178">
        <v>3552</v>
      </c>
      <c r="H433" s="178">
        <v>1694</v>
      </c>
      <c r="I433" s="178">
        <v>1858</v>
      </c>
    </row>
    <row r="434" spans="1:9">
      <c r="A434" s="179" t="s">
        <v>423</v>
      </c>
      <c r="B434" s="179" t="s">
        <v>518</v>
      </c>
      <c r="C434" s="186">
        <v>39177</v>
      </c>
      <c r="D434" s="188">
        <f t="shared" si="9"/>
        <v>2007</v>
      </c>
      <c r="E434" s="183" t="s">
        <v>530</v>
      </c>
      <c r="F434" s="178">
        <v>1000</v>
      </c>
      <c r="G434" s="178">
        <v>25010</v>
      </c>
      <c r="H434" s="178">
        <v>10220</v>
      </c>
      <c r="I434" s="178">
        <v>14790</v>
      </c>
    </row>
    <row r="435" spans="1:9">
      <c r="A435" s="179" t="s">
        <v>429</v>
      </c>
      <c r="B435" s="179" t="s">
        <v>518</v>
      </c>
      <c r="C435" s="186">
        <v>39178</v>
      </c>
      <c r="D435" s="188">
        <f t="shared" si="9"/>
        <v>2007</v>
      </c>
      <c r="E435" s="183" t="s">
        <v>531</v>
      </c>
      <c r="F435" s="178">
        <v>600</v>
      </c>
      <c r="G435" s="178">
        <v>14178</v>
      </c>
      <c r="H435" s="178">
        <v>6132</v>
      </c>
      <c r="I435" s="178">
        <v>8046</v>
      </c>
    </row>
    <row r="436" spans="1:9">
      <c r="A436" s="179" t="s">
        <v>528</v>
      </c>
      <c r="B436" s="179" t="s">
        <v>516</v>
      </c>
      <c r="C436" s="186">
        <v>39179</v>
      </c>
      <c r="D436" s="188">
        <f t="shared" si="9"/>
        <v>2007</v>
      </c>
      <c r="E436" s="183" t="s">
        <v>523</v>
      </c>
      <c r="F436" s="178">
        <v>200</v>
      </c>
      <c r="G436" s="178">
        <v>4280</v>
      </c>
      <c r="H436" s="178">
        <v>1968</v>
      </c>
      <c r="I436" s="178">
        <v>2312</v>
      </c>
    </row>
    <row r="437" spans="1:9">
      <c r="A437" s="179" t="s">
        <v>528</v>
      </c>
      <c r="B437" s="179" t="s">
        <v>518</v>
      </c>
      <c r="C437" s="186">
        <v>39179</v>
      </c>
      <c r="D437" s="188">
        <f t="shared" si="9"/>
        <v>2007</v>
      </c>
      <c r="E437" s="183" t="s">
        <v>534</v>
      </c>
      <c r="F437" s="178">
        <v>900</v>
      </c>
      <c r="G437" s="178">
        <v>21366</v>
      </c>
      <c r="H437" s="178">
        <v>9198</v>
      </c>
      <c r="I437" s="178">
        <v>12168</v>
      </c>
    </row>
    <row r="438" spans="1:9">
      <c r="A438" s="179" t="s">
        <v>423</v>
      </c>
      <c r="B438" s="179" t="s">
        <v>517</v>
      </c>
      <c r="C438" s="186">
        <v>39179</v>
      </c>
      <c r="D438" s="188">
        <f t="shared" si="9"/>
        <v>2007</v>
      </c>
      <c r="E438" s="183" t="s">
        <v>548</v>
      </c>
      <c r="F438" s="178">
        <v>1000</v>
      </c>
      <c r="G438" s="178">
        <v>17190</v>
      </c>
      <c r="H438" s="178">
        <v>8470</v>
      </c>
      <c r="I438" s="178">
        <v>8720</v>
      </c>
    </row>
    <row r="439" spans="1:9">
      <c r="A439" s="179" t="s">
        <v>528</v>
      </c>
      <c r="B439" s="179" t="s">
        <v>517</v>
      </c>
      <c r="C439" s="186">
        <v>39182</v>
      </c>
      <c r="D439" s="188">
        <f t="shared" si="9"/>
        <v>2007</v>
      </c>
      <c r="E439" s="183" t="s">
        <v>524</v>
      </c>
      <c r="F439" s="178">
        <v>300</v>
      </c>
      <c r="G439" s="178">
        <v>6309</v>
      </c>
      <c r="H439" s="178">
        <v>2541</v>
      </c>
      <c r="I439" s="178">
        <v>3768</v>
      </c>
    </row>
    <row r="440" spans="1:9">
      <c r="A440" s="179" t="s">
        <v>429</v>
      </c>
      <c r="B440" s="179" t="s">
        <v>516</v>
      </c>
      <c r="C440" s="186">
        <v>39182</v>
      </c>
      <c r="D440" s="188">
        <f t="shared" si="9"/>
        <v>2007</v>
      </c>
      <c r="E440" s="183" t="s">
        <v>532</v>
      </c>
      <c r="F440" s="178">
        <v>300</v>
      </c>
      <c r="G440" s="178">
        <v>6477</v>
      </c>
      <c r="H440" s="178">
        <v>2952</v>
      </c>
      <c r="I440" s="178">
        <v>3525</v>
      </c>
    </row>
    <row r="441" spans="1:9">
      <c r="A441" s="179" t="s">
        <v>528</v>
      </c>
      <c r="B441" s="179" t="s">
        <v>517</v>
      </c>
      <c r="C441" s="186">
        <v>39183</v>
      </c>
      <c r="D441" s="188">
        <f t="shared" si="9"/>
        <v>2007</v>
      </c>
      <c r="E441" s="183" t="s">
        <v>532</v>
      </c>
      <c r="F441" s="178">
        <v>100</v>
      </c>
      <c r="G441" s="178">
        <v>2012</v>
      </c>
      <c r="H441" s="178">
        <v>847</v>
      </c>
      <c r="I441" s="178">
        <v>1165</v>
      </c>
    </row>
    <row r="442" spans="1:9">
      <c r="A442" s="179" t="s">
        <v>429</v>
      </c>
      <c r="B442" s="179" t="s">
        <v>516</v>
      </c>
      <c r="C442" s="186">
        <v>39186</v>
      </c>
      <c r="D442" s="188">
        <f t="shared" si="9"/>
        <v>2007</v>
      </c>
      <c r="E442" s="183" t="s">
        <v>531</v>
      </c>
      <c r="F442" s="178">
        <v>400</v>
      </c>
      <c r="G442" s="178">
        <v>8632</v>
      </c>
      <c r="H442" s="178">
        <v>3936</v>
      </c>
      <c r="I442" s="178">
        <v>4696</v>
      </c>
    </row>
    <row r="443" spans="1:9">
      <c r="A443" s="179" t="s">
        <v>429</v>
      </c>
      <c r="B443" s="179" t="s">
        <v>516</v>
      </c>
      <c r="C443" s="186">
        <v>39187</v>
      </c>
      <c r="D443" s="188">
        <f t="shared" si="9"/>
        <v>2007</v>
      </c>
      <c r="E443" s="183" t="s">
        <v>525</v>
      </c>
      <c r="F443" s="178">
        <v>600</v>
      </c>
      <c r="G443" s="178">
        <v>12756</v>
      </c>
      <c r="H443" s="178">
        <v>5904</v>
      </c>
      <c r="I443" s="178">
        <v>6852</v>
      </c>
    </row>
    <row r="444" spans="1:9">
      <c r="A444" s="179" t="s">
        <v>429</v>
      </c>
      <c r="B444" s="179" t="s">
        <v>518</v>
      </c>
      <c r="C444" s="186">
        <v>39198</v>
      </c>
      <c r="D444" s="188">
        <f t="shared" si="9"/>
        <v>2007</v>
      </c>
      <c r="E444" s="183" t="s">
        <v>537</v>
      </c>
      <c r="F444" s="178">
        <v>700</v>
      </c>
      <c r="G444" s="178">
        <v>15225</v>
      </c>
      <c r="H444" s="178">
        <v>7154</v>
      </c>
      <c r="I444" s="178">
        <v>8071</v>
      </c>
    </row>
    <row r="445" spans="1:9">
      <c r="A445" s="179" t="s">
        <v>423</v>
      </c>
      <c r="B445" s="179" t="s">
        <v>518</v>
      </c>
      <c r="C445" s="186">
        <v>39198</v>
      </c>
      <c r="D445" s="188">
        <f t="shared" si="9"/>
        <v>2007</v>
      </c>
      <c r="E445" s="183" t="s">
        <v>537</v>
      </c>
      <c r="F445" s="178">
        <v>800</v>
      </c>
      <c r="G445" s="178">
        <v>19288</v>
      </c>
      <c r="H445" s="178">
        <v>8176</v>
      </c>
      <c r="I445" s="178">
        <v>11112</v>
      </c>
    </row>
    <row r="446" spans="1:9">
      <c r="A446" s="179" t="s">
        <v>423</v>
      </c>
      <c r="B446" s="179" t="s">
        <v>518</v>
      </c>
      <c r="C446" s="186">
        <v>39200</v>
      </c>
      <c r="D446" s="188">
        <f t="shared" si="9"/>
        <v>2007</v>
      </c>
      <c r="E446" s="183" t="s">
        <v>538</v>
      </c>
      <c r="F446" s="178">
        <v>800</v>
      </c>
      <c r="G446" s="178">
        <v>20408</v>
      </c>
      <c r="H446" s="178">
        <v>8176</v>
      </c>
      <c r="I446" s="178">
        <v>12232</v>
      </c>
    </row>
    <row r="447" spans="1:9">
      <c r="A447" s="179" t="s">
        <v>429</v>
      </c>
      <c r="B447" s="179" t="s">
        <v>517</v>
      </c>
      <c r="C447" s="186">
        <v>39201</v>
      </c>
      <c r="D447" s="188">
        <f t="shared" si="9"/>
        <v>2007</v>
      </c>
      <c r="E447" s="183" t="s">
        <v>531</v>
      </c>
      <c r="F447" s="178">
        <v>400</v>
      </c>
      <c r="G447" s="178">
        <v>8164</v>
      </c>
      <c r="H447" s="178">
        <v>3388</v>
      </c>
      <c r="I447" s="178">
        <v>4776</v>
      </c>
    </row>
    <row r="448" spans="1:9">
      <c r="A448" s="179" t="s">
        <v>528</v>
      </c>
      <c r="B448" s="179" t="s">
        <v>516</v>
      </c>
      <c r="C448" s="186">
        <v>39203</v>
      </c>
      <c r="D448" s="188">
        <f t="shared" si="9"/>
        <v>2007</v>
      </c>
      <c r="E448" s="183" t="s">
        <v>534</v>
      </c>
      <c r="F448" s="178">
        <v>800</v>
      </c>
      <c r="G448" s="178">
        <v>17944</v>
      </c>
      <c r="H448" s="178">
        <v>7872</v>
      </c>
      <c r="I448" s="178">
        <v>10072</v>
      </c>
    </row>
    <row r="449" spans="1:9">
      <c r="A449" s="179" t="s">
        <v>429</v>
      </c>
      <c r="B449" s="179" t="s">
        <v>518</v>
      </c>
      <c r="C449" s="186">
        <v>39206</v>
      </c>
      <c r="D449" s="188">
        <f t="shared" si="9"/>
        <v>2007</v>
      </c>
      <c r="E449" s="183" t="s">
        <v>530</v>
      </c>
      <c r="F449" s="178">
        <v>500</v>
      </c>
      <c r="G449" s="178">
        <v>10940</v>
      </c>
      <c r="H449" s="178">
        <v>5110</v>
      </c>
      <c r="I449" s="178">
        <v>5830</v>
      </c>
    </row>
    <row r="450" spans="1:9">
      <c r="A450" s="179" t="s">
        <v>528</v>
      </c>
      <c r="B450" s="179" t="s">
        <v>516</v>
      </c>
      <c r="C450" s="186">
        <v>39208</v>
      </c>
      <c r="D450" s="188">
        <f t="shared" ref="D450:D513" si="10">YEAR(C450)</f>
        <v>2007</v>
      </c>
      <c r="E450" s="183" t="s">
        <v>537</v>
      </c>
      <c r="F450" s="178">
        <v>1000</v>
      </c>
      <c r="G450" s="178">
        <v>23970</v>
      </c>
      <c r="H450" s="178">
        <v>9840</v>
      </c>
      <c r="I450" s="178">
        <v>14130</v>
      </c>
    </row>
    <row r="451" spans="1:9">
      <c r="A451" s="179" t="s">
        <v>423</v>
      </c>
      <c r="B451" s="179" t="s">
        <v>517</v>
      </c>
      <c r="C451" s="186">
        <v>39210</v>
      </c>
      <c r="D451" s="188">
        <f t="shared" si="10"/>
        <v>2007</v>
      </c>
      <c r="E451" s="183" t="s">
        <v>531</v>
      </c>
      <c r="F451" s="178">
        <v>700</v>
      </c>
      <c r="G451" s="178">
        <v>14105</v>
      </c>
      <c r="H451" s="178">
        <v>5929</v>
      </c>
      <c r="I451" s="178">
        <v>8176</v>
      </c>
    </row>
    <row r="452" spans="1:9">
      <c r="A452" s="179" t="s">
        <v>528</v>
      </c>
      <c r="B452" s="179" t="s">
        <v>518</v>
      </c>
      <c r="C452" s="186">
        <v>39211</v>
      </c>
      <c r="D452" s="188">
        <f t="shared" si="10"/>
        <v>2007</v>
      </c>
      <c r="E452" s="183" t="s">
        <v>529</v>
      </c>
      <c r="F452" s="178">
        <v>800</v>
      </c>
      <c r="G452" s="178">
        <v>18344</v>
      </c>
      <c r="H452" s="178">
        <v>8176</v>
      </c>
      <c r="I452" s="178">
        <v>10168</v>
      </c>
    </row>
    <row r="453" spans="1:9">
      <c r="A453" s="179" t="s">
        <v>423</v>
      </c>
      <c r="B453" s="179" t="s">
        <v>518</v>
      </c>
      <c r="C453" s="186">
        <v>39211</v>
      </c>
      <c r="D453" s="188">
        <f t="shared" si="10"/>
        <v>2007</v>
      </c>
      <c r="E453" s="183" t="s">
        <v>548</v>
      </c>
      <c r="F453" s="178">
        <v>1000</v>
      </c>
      <c r="G453" s="178">
        <v>23890</v>
      </c>
      <c r="H453" s="178">
        <v>10220</v>
      </c>
      <c r="I453" s="178">
        <v>13670</v>
      </c>
    </row>
    <row r="454" spans="1:9">
      <c r="A454" s="179" t="s">
        <v>429</v>
      </c>
      <c r="B454" s="179" t="s">
        <v>517</v>
      </c>
      <c r="C454" s="186">
        <v>39214</v>
      </c>
      <c r="D454" s="188">
        <f t="shared" si="10"/>
        <v>2007</v>
      </c>
      <c r="E454" s="183" t="s">
        <v>525</v>
      </c>
      <c r="F454" s="178">
        <v>1000</v>
      </c>
      <c r="G454" s="178">
        <v>20310</v>
      </c>
      <c r="H454" s="178">
        <v>8470</v>
      </c>
      <c r="I454" s="178">
        <v>11840</v>
      </c>
    </row>
    <row r="455" spans="1:9">
      <c r="A455" s="179" t="s">
        <v>423</v>
      </c>
      <c r="B455" s="179" t="s">
        <v>518</v>
      </c>
      <c r="C455" s="186">
        <v>39215</v>
      </c>
      <c r="D455" s="188">
        <f t="shared" si="10"/>
        <v>2007</v>
      </c>
      <c r="E455" s="183" t="s">
        <v>537</v>
      </c>
      <c r="F455" s="178">
        <v>400</v>
      </c>
      <c r="G455" s="178">
        <v>9384</v>
      </c>
      <c r="H455" s="178">
        <v>4088</v>
      </c>
      <c r="I455" s="178">
        <v>5296</v>
      </c>
    </row>
    <row r="456" spans="1:9">
      <c r="A456" s="179" t="s">
        <v>528</v>
      </c>
      <c r="B456" s="179" t="s">
        <v>517</v>
      </c>
      <c r="C456" s="186">
        <v>39217</v>
      </c>
      <c r="D456" s="188">
        <f t="shared" si="10"/>
        <v>2007</v>
      </c>
      <c r="E456" s="183" t="s">
        <v>532</v>
      </c>
      <c r="F456" s="178">
        <v>500</v>
      </c>
      <c r="G456" s="178">
        <v>10385</v>
      </c>
      <c r="H456" s="178">
        <v>4235</v>
      </c>
      <c r="I456" s="178">
        <v>6150</v>
      </c>
    </row>
    <row r="457" spans="1:9">
      <c r="A457" s="179" t="s">
        <v>528</v>
      </c>
      <c r="B457" s="179" t="s">
        <v>516</v>
      </c>
      <c r="C457" s="186">
        <v>39218</v>
      </c>
      <c r="D457" s="188">
        <f t="shared" si="10"/>
        <v>2007</v>
      </c>
      <c r="E457" s="183" t="s">
        <v>530</v>
      </c>
      <c r="F457" s="178">
        <v>300</v>
      </c>
      <c r="G457" s="178">
        <v>7053</v>
      </c>
      <c r="H457" s="178">
        <v>2952</v>
      </c>
      <c r="I457" s="178">
        <v>4101</v>
      </c>
    </row>
    <row r="458" spans="1:9">
      <c r="A458" s="179" t="s">
        <v>423</v>
      </c>
      <c r="B458" s="179" t="s">
        <v>517</v>
      </c>
      <c r="C458" s="186">
        <v>39218</v>
      </c>
      <c r="D458" s="188">
        <f t="shared" si="10"/>
        <v>2007</v>
      </c>
      <c r="E458" s="183" t="s">
        <v>530</v>
      </c>
      <c r="F458" s="178">
        <v>400</v>
      </c>
      <c r="G458" s="178">
        <v>8196</v>
      </c>
      <c r="H458" s="178">
        <v>3388</v>
      </c>
      <c r="I458" s="178">
        <v>4808</v>
      </c>
    </row>
    <row r="459" spans="1:9">
      <c r="A459" s="179" t="s">
        <v>423</v>
      </c>
      <c r="B459" s="179" t="s">
        <v>518</v>
      </c>
      <c r="C459" s="186">
        <v>39222</v>
      </c>
      <c r="D459" s="188">
        <f t="shared" si="10"/>
        <v>2007</v>
      </c>
      <c r="E459" s="183" t="s">
        <v>545</v>
      </c>
      <c r="F459" s="178">
        <v>800</v>
      </c>
      <c r="G459" s="178">
        <v>16936</v>
      </c>
      <c r="H459" s="178">
        <v>8176</v>
      </c>
      <c r="I459" s="178">
        <v>8760</v>
      </c>
    </row>
    <row r="460" spans="1:9">
      <c r="A460" s="179" t="s">
        <v>429</v>
      </c>
      <c r="B460" s="179" t="s">
        <v>518</v>
      </c>
      <c r="C460" s="186">
        <v>39222</v>
      </c>
      <c r="D460" s="188">
        <f t="shared" si="10"/>
        <v>2007</v>
      </c>
      <c r="E460" s="183" t="s">
        <v>531</v>
      </c>
      <c r="F460" s="178">
        <v>600</v>
      </c>
      <c r="G460" s="178">
        <v>13818</v>
      </c>
      <c r="H460" s="178">
        <v>6132</v>
      </c>
      <c r="I460" s="178">
        <v>7686</v>
      </c>
    </row>
    <row r="461" spans="1:9">
      <c r="A461" s="179" t="s">
        <v>429</v>
      </c>
      <c r="B461" s="179" t="s">
        <v>516</v>
      </c>
      <c r="C461" s="186">
        <v>39224</v>
      </c>
      <c r="D461" s="188">
        <f t="shared" si="10"/>
        <v>2007</v>
      </c>
      <c r="E461" s="183" t="s">
        <v>529</v>
      </c>
      <c r="F461" s="178">
        <v>600</v>
      </c>
      <c r="G461" s="178">
        <v>13206</v>
      </c>
      <c r="H461" s="178">
        <v>5904</v>
      </c>
      <c r="I461" s="178">
        <v>7302</v>
      </c>
    </row>
    <row r="462" spans="1:9">
      <c r="A462" s="179" t="s">
        <v>429</v>
      </c>
      <c r="B462" s="179" t="s">
        <v>516</v>
      </c>
      <c r="C462" s="186">
        <v>39224</v>
      </c>
      <c r="D462" s="188">
        <f t="shared" si="10"/>
        <v>2007</v>
      </c>
      <c r="E462" s="183" t="s">
        <v>532</v>
      </c>
      <c r="F462" s="178">
        <v>800</v>
      </c>
      <c r="G462" s="178">
        <v>17240</v>
      </c>
      <c r="H462" s="178">
        <v>7872</v>
      </c>
      <c r="I462" s="178">
        <v>9368</v>
      </c>
    </row>
    <row r="463" spans="1:9">
      <c r="A463" s="179" t="s">
        <v>429</v>
      </c>
      <c r="B463" s="179" t="s">
        <v>516</v>
      </c>
      <c r="C463" s="186">
        <v>39225</v>
      </c>
      <c r="D463" s="188">
        <f t="shared" si="10"/>
        <v>2007</v>
      </c>
      <c r="E463" s="183" t="s">
        <v>532</v>
      </c>
      <c r="F463" s="178">
        <v>400</v>
      </c>
      <c r="G463" s="178">
        <v>8708</v>
      </c>
      <c r="H463" s="178">
        <v>3936</v>
      </c>
      <c r="I463" s="178">
        <v>4772</v>
      </c>
    </row>
    <row r="464" spans="1:9">
      <c r="A464" s="179" t="s">
        <v>528</v>
      </c>
      <c r="B464" s="179" t="s">
        <v>517</v>
      </c>
      <c r="C464" s="186">
        <v>39227</v>
      </c>
      <c r="D464" s="188">
        <f t="shared" si="10"/>
        <v>2007</v>
      </c>
      <c r="E464" s="183" t="s">
        <v>523</v>
      </c>
      <c r="F464" s="178">
        <v>700</v>
      </c>
      <c r="G464" s="178">
        <v>12838</v>
      </c>
      <c r="H464" s="178">
        <v>5929</v>
      </c>
      <c r="I464" s="178">
        <v>6909</v>
      </c>
    </row>
    <row r="465" spans="1:9">
      <c r="A465" s="179" t="s">
        <v>423</v>
      </c>
      <c r="B465" s="179" t="s">
        <v>517</v>
      </c>
      <c r="C465" s="186">
        <v>39231</v>
      </c>
      <c r="D465" s="188">
        <f t="shared" si="10"/>
        <v>2007</v>
      </c>
      <c r="E465" s="183" t="s">
        <v>532</v>
      </c>
      <c r="F465" s="178">
        <v>1000</v>
      </c>
      <c r="G465" s="178">
        <v>20250</v>
      </c>
      <c r="H465" s="178">
        <v>8470</v>
      </c>
      <c r="I465" s="178">
        <v>11780</v>
      </c>
    </row>
    <row r="466" spans="1:9">
      <c r="A466" s="179" t="s">
        <v>423</v>
      </c>
      <c r="B466" s="179" t="s">
        <v>518</v>
      </c>
      <c r="C466" s="186">
        <v>39232</v>
      </c>
      <c r="D466" s="188">
        <f t="shared" si="10"/>
        <v>2007</v>
      </c>
      <c r="E466" s="183" t="s">
        <v>530</v>
      </c>
      <c r="F466" s="178">
        <v>600</v>
      </c>
      <c r="G466" s="178">
        <v>14634</v>
      </c>
      <c r="H466" s="178">
        <v>6132</v>
      </c>
      <c r="I466" s="178">
        <v>8502</v>
      </c>
    </row>
    <row r="467" spans="1:9">
      <c r="A467" s="179" t="s">
        <v>528</v>
      </c>
      <c r="B467" s="179" t="s">
        <v>517</v>
      </c>
      <c r="C467" s="186">
        <v>39233</v>
      </c>
      <c r="D467" s="188">
        <f t="shared" si="10"/>
        <v>2007</v>
      </c>
      <c r="E467" s="183" t="s">
        <v>537</v>
      </c>
      <c r="F467" s="178">
        <v>800</v>
      </c>
      <c r="G467" s="178">
        <v>15288</v>
      </c>
      <c r="H467" s="178">
        <v>6776</v>
      </c>
      <c r="I467" s="178">
        <v>8512</v>
      </c>
    </row>
    <row r="468" spans="1:9">
      <c r="A468" s="179" t="s">
        <v>429</v>
      </c>
      <c r="B468" s="179" t="s">
        <v>516</v>
      </c>
      <c r="C468" s="186">
        <v>39233</v>
      </c>
      <c r="D468" s="188">
        <f t="shared" si="10"/>
        <v>2007</v>
      </c>
      <c r="E468" s="183" t="s">
        <v>530</v>
      </c>
      <c r="F468" s="178">
        <v>400</v>
      </c>
      <c r="G468" s="178">
        <v>9484</v>
      </c>
      <c r="H468" s="178">
        <v>3936</v>
      </c>
      <c r="I468" s="178">
        <v>5548</v>
      </c>
    </row>
    <row r="469" spans="1:9">
      <c r="A469" s="179" t="s">
        <v>423</v>
      </c>
      <c r="B469" s="179" t="s">
        <v>516</v>
      </c>
      <c r="C469" s="186">
        <v>39233</v>
      </c>
      <c r="D469" s="188">
        <f t="shared" si="10"/>
        <v>2007</v>
      </c>
      <c r="E469" s="183" t="s">
        <v>530</v>
      </c>
      <c r="F469" s="178">
        <v>400</v>
      </c>
      <c r="G469" s="178">
        <v>8464</v>
      </c>
      <c r="H469" s="178">
        <v>3936</v>
      </c>
      <c r="I469" s="178">
        <v>4528</v>
      </c>
    </row>
    <row r="470" spans="1:9">
      <c r="A470" s="179" t="s">
        <v>429</v>
      </c>
      <c r="B470" s="179" t="s">
        <v>518</v>
      </c>
      <c r="C470" s="186">
        <v>39234</v>
      </c>
      <c r="D470" s="188">
        <f t="shared" si="10"/>
        <v>2007</v>
      </c>
      <c r="E470" s="183" t="s">
        <v>530</v>
      </c>
      <c r="F470" s="178">
        <v>100</v>
      </c>
      <c r="G470" s="178">
        <v>2517</v>
      </c>
      <c r="H470" s="178">
        <v>1022</v>
      </c>
      <c r="I470" s="178">
        <v>1495</v>
      </c>
    </row>
    <row r="471" spans="1:9">
      <c r="A471" s="179" t="s">
        <v>528</v>
      </c>
      <c r="B471" s="179" t="s">
        <v>518</v>
      </c>
      <c r="C471" s="186">
        <v>39235</v>
      </c>
      <c r="D471" s="188">
        <f t="shared" si="10"/>
        <v>2007</v>
      </c>
      <c r="E471" s="183" t="s">
        <v>529</v>
      </c>
      <c r="F471" s="178">
        <v>700</v>
      </c>
      <c r="G471" s="178">
        <v>15876</v>
      </c>
      <c r="H471" s="178">
        <v>7154</v>
      </c>
      <c r="I471" s="178">
        <v>8722</v>
      </c>
    </row>
    <row r="472" spans="1:9">
      <c r="A472" s="179" t="s">
        <v>429</v>
      </c>
      <c r="B472" s="179" t="s">
        <v>516</v>
      </c>
      <c r="C472" s="186">
        <v>39237</v>
      </c>
      <c r="D472" s="188">
        <f t="shared" si="10"/>
        <v>2007</v>
      </c>
      <c r="E472" s="183" t="s">
        <v>533</v>
      </c>
      <c r="F472" s="178">
        <v>800</v>
      </c>
      <c r="G472" s="178">
        <v>15816</v>
      </c>
      <c r="H472" s="178">
        <v>7872</v>
      </c>
      <c r="I472" s="178">
        <v>7944</v>
      </c>
    </row>
    <row r="473" spans="1:9">
      <c r="A473" s="179" t="s">
        <v>423</v>
      </c>
      <c r="B473" s="179" t="s">
        <v>517</v>
      </c>
      <c r="C473" s="186">
        <v>39239</v>
      </c>
      <c r="D473" s="188">
        <f t="shared" si="10"/>
        <v>2007</v>
      </c>
      <c r="E473" s="183" t="s">
        <v>532</v>
      </c>
      <c r="F473" s="178">
        <v>300</v>
      </c>
      <c r="G473" s="178">
        <v>5859</v>
      </c>
      <c r="H473" s="178">
        <v>2541</v>
      </c>
      <c r="I473" s="178">
        <v>3318</v>
      </c>
    </row>
    <row r="474" spans="1:9">
      <c r="A474" s="179" t="s">
        <v>423</v>
      </c>
      <c r="B474" s="179" t="s">
        <v>517</v>
      </c>
      <c r="C474" s="186">
        <v>39244</v>
      </c>
      <c r="D474" s="188">
        <f t="shared" si="10"/>
        <v>2007</v>
      </c>
      <c r="E474" s="183" t="s">
        <v>529</v>
      </c>
      <c r="F474" s="178">
        <v>500</v>
      </c>
      <c r="G474" s="178">
        <v>10295</v>
      </c>
      <c r="H474" s="178">
        <v>4235</v>
      </c>
      <c r="I474" s="178">
        <v>6060</v>
      </c>
    </row>
    <row r="475" spans="1:9">
      <c r="A475" s="179" t="s">
        <v>423</v>
      </c>
      <c r="B475" s="179" t="s">
        <v>516</v>
      </c>
      <c r="C475" s="186">
        <v>39247</v>
      </c>
      <c r="D475" s="188">
        <f t="shared" si="10"/>
        <v>2007</v>
      </c>
      <c r="E475" s="183" t="s">
        <v>534</v>
      </c>
      <c r="F475" s="178">
        <v>400</v>
      </c>
      <c r="G475" s="178">
        <v>9088</v>
      </c>
      <c r="H475" s="178">
        <v>3936</v>
      </c>
      <c r="I475" s="178">
        <v>5152</v>
      </c>
    </row>
    <row r="476" spans="1:9">
      <c r="A476" s="179" t="s">
        <v>528</v>
      </c>
      <c r="B476" s="179" t="s">
        <v>516</v>
      </c>
      <c r="C476" s="186">
        <v>39248</v>
      </c>
      <c r="D476" s="188">
        <f t="shared" si="10"/>
        <v>2007</v>
      </c>
      <c r="E476" s="183" t="s">
        <v>523</v>
      </c>
      <c r="F476" s="178">
        <v>200</v>
      </c>
      <c r="G476" s="178">
        <v>4472</v>
      </c>
      <c r="H476" s="178">
        <v>1968</v>
      </c>
      <c r="I476" s="178">
        <v>2504</v>
      </c>
    </row>
    <row r="477" spans="1:9">
      <c r="A477" s="179" t="s">
        <v>429</v>
      </c>
      <c r="B477" s="179" t="s">
        <v>517</v>
      </c>
      <c r="C477" s="186">
        <v>39250</v>
      </c>
      <c r="D477" s="188">
        <f t="shared" si="10"/>
        <v>2007</v>
      </c>
      <c r="E477" s="183" t="s">
        <v>523</v>
      </c>
      <c r="F477" s="178">
        <v>400</v>
      </c>
      <c r="G477" s="178">
        <v>8468</v>
      </c>
      <c r="H477" s="178">
        <v>3388</v>
      </c>
      <c r="I477" s="178">
        <v>5080</v>
      </c>
    </row>
    <row r="478" spans="1:9">
      <c r="A478" s="179" t="s">
        <v>429</v>
      </c>
      <c r="B478" s="179" t="s">
        <v>517</v>
      </c>
      <c r="C478" s="186">
        <v>39251</v>
      </c>
      <c r="D478" s="188">
        <f t="shared" si="10"/>
        <v>2007</v>
      </c>
      <c r="E478" s="183" t="s">
        <v>523</v>
      </c>
      <c r="F478" s="178">
        <v>400</v>
      </c>
      <c r="G478" s="178">
        <v>7132</v>
      </c>
      <c r="H478" s="178">
        <v>3388</v>
      </c>
      <c r="I478" s="178">
        <v>3744</v>
      </c>
    </row>
    <row r="479" spans="1:9">
      <c r="A479" s="179" t="s">
        <v>528</v>
      </c>
      <c r="B479" s="179" t="s">
        <v>517</v>
      </c>
      <c r="C479" s="186">
        <v>39256</v>
      </c>
      <c r="D479" s="188">
        <f t="shared" si="10"/>
        <v>2007</v>
      </c>
      <c r="E479" s="183" t="s">
        <v>533</v>
      </c>
      <c r="F479" s="178">
        <v>800</v>
      </c>
      <c r="G479" s="178">
        <v>16416</v>
      </c>
      <c r="H479" s="178">
        <v>6776</v>
      </c>
      <c r="I479" s="178">
        <v>9640</v>
      </c>
    </row>
    <row r="480" spans="1:9">
      <c r="A480" s="179" t="s">
        <v>429</v>
      </c>
      <c r="B480" s="179" t="s">
        <v>516</v>
      </c>
      <c r="C480" s="186">
        <v>39256</v>
      </c>
      <c r="D480" s="188">
        <f t="shared" si="10"/>
        <v>2007</v>
      </c>
      <c r="E480" s="183" t="s">
        <v>541</v>
      </c>
      <c r="F480" s="178">
        <v>1000</v>
      </c>
      <c r="G480" s="178">
        <v>21730</v>
      </c>
      <c r="H480" s="178">
        <v>9840</v>
      </c>
      <c r="I480" s="178">
        <v>11890</v>
      </c>
    </row>
    <row r="481" spans="1:9">
      <c r="A481" s="179" t="s">
        <v>423</v>
      </c>
      <c r="B481" s="179" t="s">
        <v>516</v>
      </c>
      <c r="C481" s="186">
        <v>39257</v>
      </c>
      <c r="D481" s="188">
        <f t="shared" si="10"/>
        <v>2007</v>
      </c>
      <c r="E481" s="183" t="s">
        <v>525</v>
      </c>
      <c r="F481" s="178">
        <v>800</v>
      </c>
      <c r="G481" s="178">
        <v>17056</v>
      </c>
      <c r="H481" s="178">
        <v>7872</v>
      </c>
      <c r="I481" s="178">
        <v>9184</v>
      </c>
    </row>
    <row r="482" spans="1:9">
      <c r="A482" s="179" t="s">
        <v>528</v>
      </c>
      <c r="B482" s="179" t="s">
        <v>518</v>
      </c>
      <c r="C482" s="186">
        <v>39259</v>
      </c>
      <c r="D482" s="188">
        <f t="shared" si="10"/>
        <v>2007</v>
      </c>
      <c r="E482" s="183" t="s">
        <v>524</v>
      </c>
      <c r="F482" s="178">
        <v>600</v>
      </c>
      <c r="G482" s="178">
        <v>12936</v>
      </c>
      <c r="H482" s="178">
        <v>6132</v>
      </c>
      <c r="I482" s="178">
        <v>6804</v>
      </c>
    </row>
    <row r="483" spans="1:9">
      <c r="A483" s="179" t="s">
        <v>528</v>
      </c>
      <c r="B483" s="179" t="s">
        <v>518</v>
      </c>
      <c r="C483" s="186">
        <v>39260</v>
      </c>
      <c r="D483" s="188">
        <f t="shared" si="10"/>
        <v>2007</v>
      </c>
      <c r="E483" s="183" t="s">
        <v>523</v>
      </c>
      <c r="F483" s="178">
        <v>500</v>
      </c>
      <c r="G483" s="178">
        <v>10385</v>
      </c>
      <c r="H483" s="178">
        <v>5110</v>
      </c>
      <c r="I483" s="178">
        <v>5275</v>
      </c>
    </row>
    <row r="484" spans="1:9">
      <c r="A484" s="179" t="s">
        <v>429</v>
      </c>
      <c r="B484" s="179" t="s">
        <v>517</v>
      </c>
      <c r="C484" s="186">
        <v>39266</v>
      </c>
      <c r="D484" s="188">
        <f t="shared" si="10"/>
        <v>2007</v>
      </c>
      <c r="E484" s="183" t="s">
        <v>530</v>
      </c>
      <c r="F484" s="178">
        <v>300</v>
      </c>
      <c r="G484" s="178">
        <v>5457</v>
      </c>
      <c r="H484" s="178">
        <v>2541</v>
      </c>
      <c r="I484" s="178">
        <v>2916</v>
      </c>
    </row>
    <row r="485" spans="1:9">
      <c r="A485" s="179" t="s">
        <v>528</v>
      </c>
      <c r="B485" s="179" t="s">
        <v>516</v>
      </c>
      <c r="C485" s="186">
        <v>39272</v>
      </c>
      <c r="D485" s="188">
        <f t="shared" si="10"/>
        <v>2007</v>
      </c>
      <c r="E485" s="183" t="s">
        <v>537</v>
      </c>
      <c r="F485" s="178">
        <v>800</v>
      </c>
      <c r="G485" s="178">
        <v>15856</v>
      </c>
      <c r="H485" s="178">
        <v>7872</v>
      </c>
      <c r="I485" s="178">
        <v>7984</v>
      </c>
    </row>
    <row r="486" spans="1:9">
      <c r="A486" s="179" t="s">
        <v>528</v>
      </c>
      <c r="B486" s="179" t="s">
        <v>517</v>
      </c>
      <c r="C486" s="186">
        <v>39274</v>
      </c>
      <c r="D486" s="188">
        <f t="shared" si="10"/>
        <v>2007</v>
      </c>
      <c r="E486" s="183" t="s">
        <v>523</v>
      </c>
      <c r="F486" s="178">
        <v>200</v>
      </c>
      <c r="G486" s="178">
        <v>3922</v>
      </c>
      <c r="H486" s="178">
        <v>1694</v>
      </c>
      <c r="I486" s="178">
        <v>2228</v>
      </c>
    </row>
    <row r="487" spans="1:9">
      <c r="A487" s="179" t="s">
        <v>429</v>
      </c>
      <c r="B487" s="179" t="s">
        <v>517</v>
      </c>
      <c r="C487" s="186">
        <v>39274</v>
      </c>
      <c r="D487" s="188">
        <f t="shared" si="10"/>
        <v>2007</v>
      </c>
      <c r="E487" s="183" t="s">
        <v>524</v>
      </c>
      <c r="F487" s="178">
        <v>100</v>
      </c>
      <c r="G487" s="178">
        <v>2055</v>
      </c>
      <c r="H487" s="178">
        <v>847</v>
      </c>
      <c r="I487" s="178">
        <v>1208</v>
      </c>
    </row>
    <row r="488" spans="1:9">
      <c r="A488" s="179" t="s">
        <v>423</v>
      </c>
      <c r="B488" s="179" t="s">
        <v>517</v>
      </c>
      <c r="C488" s="186">
        <v>39278</v>
      </c>
      <c r="D488" s="188">
        <f t="shared" si="10"/>
        <v>2007</v>
      </c>
      <c r="E488" s="183" t="s">
        <v>538</v>
      </c>
      <c r="F488" s="178">
        <v>700</v>
      </c>
      <c r="G488" s="178">
        <v>12474</v>
      </c>
      <c r="H488" s="178">
        <v>5929</v>
      </c>
      <c r="I488" s="178">
        <v>6545</v>
      </c>
    </row>
    <row r="489" spans="1:9">
      <c r="A489" s="179" t="s">
        <v>528</v>
      </c>
      <c r="B489" s="179" t="s">
        <v>517</v>
      </c>
      <c r="C489" s="186">
        <v>39280</v>
      </c>
      <c r="D489" s="188">
        <f t="shared" si="10"/>
        <v>2007</v>
      </c>
      <c r="E489" s="183" t="s">
        <v>534</v>
      </c>
      <c r="F489" s="178">
        <v>100</v>
      </c>
      <c r="G489" s="178">
        <v>1968</v>
      </c>
      <c r="H489" s="178">
        <v>847</v>
      </c>
      <c r="I489" s="178">
        <v>1121</v>
      </c>
    </row>
    <row r="490" spans="1:9">
      <c r="A490" s="179" t="s">
        <v>429</v>
      </c>
      <c r="B490" s="179" t="s">
        <v>518</v>
      </c>
      <c r="C490" s="186">
        <v>39280</v>
      </c>
      <c r="D490" s="188">
        <f t="shared" si="10"/>
        <v>2007</v>
      </c>
      <c r="E490" s="183" t="s">
        <v>524</v>
      </c>
      <c r="F490" s="178">
        <v>700</v>
      </c>
      <c r="G490" s="178">
        <v>15988</v>
      </c>
      <c r="H490" s="178">
        <v>7154</v>
      </c>
      <c r="I490" s="178">
        <v>8834</v>
      </c>
    </row>
    <row r="491" spans="1:9">
      <c r="A491" s="179" t="s">
        <v>423</v>
      </c>
      <c r="B491" s="179" t="s">
        <v>517</v>
      </c>
      <c r="C491" s="186">
        <v>39281</v>
      </c>
      <c r="D491" s="188">
        <f t="shared" si="10"/>
        <v>2007</v>
      </c>
      <c r="E491" s="183" t="s">
        <v>523</v>
      </c>
      <c r="F491" s="178">
        <v>200</v>
      </c>
      <c r="G491" s="178">
        <v>3672</v>
      </c>
      <c r="H491" s="178">
        <v>1694</v>
      </c>
      <c r="I491" s="178">
        <v>1978</v>
      </c>
    </row>
    <row r="492" spans="1:9">
      <c r="A492" s="179" t="s">
        <v>429</v>
      </c>
      <c r="B492" s="179" t="s">
        <v>517</v>
      </c>
      <c r="C492" s="186">
        <v>39288</v>
      </c>
      <c r="D492" s="188">
        <f t="shared" si="10"/>
        <v>2007</v>
      </c>
      <c r="E492" s="183" t="s">
        <v>530</v>
      </c>
      <c r="F492" s="178">
        <v>400</v>
      </c>
      <c r="G492" s="178">
        <v>6944</v>
      </c>
      <c r="H492" s="178">
        <v>3388</v>
      </c>
      <c r="I492" s="178">
        <v>3556</v>
      </c>
    </row>
    <row r="493" spans="1:9">
      <c r="A493" s="179" t="s">
        <v>528</v>
      </c>
      <c r="B493" s="179" t="s">
        <v>516</v>
      </c>
      <c r="C493" s="186">
        <v>39288</v>
      </c>
      <c r="D493" s="188">
        <f t="shared" si="10"/>
        <v>2007</v>
      </c>
      <c r="E493" s="183" t="s">
        <v>532</v>
      </c>
      <c r="F493" s="178">
        <v>600</v>
      </c>
      <c r="G493" s="178">
        <v>13368</v>
      </c>
      <c r="H493" s="178">
        <v>5904</v>
      </c>
      <c r="I493" s="178">
        <v>7464</v>
      </c>
    </row>
    <row r="494" spans="1:9">
      <c r="A494" s="179" t="s">
        <v>423</v>
      </c>
      <c r="B494" s="179" t="s">
        <v>516</v>
      </c>
      <c r="C494" s="186">
        <v>39290</v>
      </c>
      <c r="D494" s="188">
        <f t="shared" si="10"/>
        <v>2007</v>
      </c>
      <c r="E494" s="183" t="s">
        <v>525</v>
      </c>
      <c r="F494" s="178">
        <v>300</v>
      </c>
      <c r="G494" s="178">
        <v>6018</v>
      </c>
      <c r="H494" s="178">
        <v>2952</v>
      </c>
      <c r="I494" s="178">
        <v>3066</v>
      </c>
    </row>
    <row r="495" spans="1:9">
      <c r="A495" s="179" t="s">
        <v>528</v>
      </c>
      <c r="B495" s="179" t="s">
        <v>518</v>
      </c>
      <c r="C495" s="186">
        <v>39291</v>
      </c>
      <c r="D495" s="188">
        <f t="shared" si="10"/>
        <v>2007</v>
      </c>
      <c r="E495" s="183" t="s">
        <v>533</v>
      </c>
      <c r="F495" s="178">
        <v>100</v>
      </c>
      <c r="G495" s="178">
        <v>2343</v>
      </c>
      <c r="H495" s="178">
        <v>1022</v>
      </c>
      <c r="I495" s="178">
        <v>1321</v>
      </c>
    </row>
    <row r="496" spans="1:9">
      <c r="A496" s="179" t="s">
        <v>423</v>
      </c>
      <c r="B496" s="179" t="s">
        <v>517</v>
      </c>
      <c r="C496" s="186">
        <v>39295</v>
      </c>
      <c r="D496" s="188">
        <f t="shared" si="10"/>
        <v>2007</v>
      </c>
      <c r="E496" s="183" t="s">
        <v>529</v>
      </c>
      <c r="F496" s="178">
        <v>400</v>
      </c>
      <c r="G496" s="178">
        <v>7752</v>
      </c>
      <c r="H496" s="178">
        <v>3388</v>
      </c>
      <c r="I496" s="178">
        <v>4364</v>
      </c>
    </row>
    <row r="497" spans="1:9">
      <c r="A497" s="179" t="s">
        <v>423</v>
      </c>
      <c r="B497" s="179" t="s">
        <v>516</v>
      </c>
      <c r="C497" s="186">
        <v>39296</v>
      </c>
      <c r="D497" s="188">
        <f t="shared" si="10"/>
        <v>2007</v>
      </c>
      <c r="E497" s="183" t="s">
        <v>530</v>
      </c>
      <c r="F497" s="178">
        <v>500</v>
      </c>
      <c r="G497" s="178">
        <v>11295</v>
      </c>
      <c r="H497" s="178">
        <v>4920</v>
      </c>
      <c r="I497" s="178">
        <v>6375</v>
      </c>
    </row>
    <row r="498" spans="1:9">
      <c r="A498" s="179" t="s">
        <v>528</v>
      </c>
      <c r="B498" s="179" t="s">
        <v>516</v>
      </c>
      <c r="C498" s="186">
        <v>39296</v>
      </c>
      <c r="D498" s="188">
        <f t="shared" si="10"/>
        <v>2007</v>
      </c>
      <c r="E498" s="183" t="s">
        <v>533</v>
      </c>
      <c r="F498" s="178">
        <v>600</v>
      </c>
      <c r="G498" s="178">
        <v>13200</v>
      </c>
      <c r="H498" s="178">
        <v>5904</v>
      </c>
      <c r="I498" s="178">
        <v>7296</v>
      </c>
    </row>
    <row r="499" spans="1:9">
      <c r="A499" s="179" t="s">
        <v>528</v>
      </c>
      <c r="B499" s="179" t="s">
        <v>518</v>
      </c>
      <c r="C499" s="186">
        <v>39298</v>
      </c>
      <c r="D499" s="188">
        <f t="shared" si="10"/>
        <v>2007</v>
      </c>
      <c r="E499" s="183" t="s">
        <v>531</v>
      </c>
      <c r="F499" s="178">
        <v>800</v>
      </c>
      <c r="G499" s="178">
        <v>17160</v>
      </c>
      <c r="H499" s="178">
        <v>8176</v>
      </c>
      <c r="I499" s="178">
        <v>8984</v>
      </c>
    </row>
    <row r="500" spans="1:9">
      <c r="A500" s="179" t="s">
        <v>429</v>
      </c>
      <c r="B500" s="179" t="s">
        <v>518</v>
      </c>
      <c r="C500" s="186">
        <v>39299</v>
      </c>
      <c r="D500" s="188">
        <f t="shared" si="10"/>
        <v>2007</v>
      </c>
      <c r="E500" s="183" t="s">
        <v>531</v>
      </c>
      <c r="F500" s="178">
        <v>900</v>
      </c>
      <c r="G500" s="178">
        <v>20664</v>
      </c>
      <c r="H500" s="178">
        <v>9198</v>
      </c>
      <c r="I500" s="178">
        <v>11466</v>
      </c>
    </row>
    <row r="501" spans="1:9">
      <c r="A501" s="179" t="s">
        <v>429</v>
      </c>
      <c r="B501" s="179" t="s">
        <v>518</v>
      </c>
      <c r="C501" s="186">
        <v>39300</v>
      </c>
      <c r="D501" s="188">
        <f t="shared" si="10"/>
        <v>2007</v>
      </c>
      <c r="E501" s="183" t="s">
        <v>543</v>
      </c>
      <c r="F501" s="178">
        <v>100</v>
      </c>
      <c r="G501" s="178">
        <v>2538</v>
      </c>
      <c r="H501" s="178">
        <v>1022</v>
      </c>
      <c r="I501" s="178">
        <v>1516</v>
      </c>
    </row>
    <row r="502" spans="1:9">
      <c r="A502" s="179" t="s">
        <v>423</v>
      </c>
      <c r="B502" s="179" t="s">
        <v>518</v>
      </c>
      <c r="C502" s="186">
        <v>39301</v>
      </c>
      <c r="D502" s="188">
        <f t="shared" si="10"/>
        <v>2007</v>
      </c>
      <c r="E502" s="183" t="s">
        <v>525</v>
      </c>
      <c r="F502" s="178">
        <v>900</v>
      </c>
      <c r="G502" s="178">
        <v>21834</v>
      </c>
      <c r="H502" s="178">
        <v>9198</v>
      </c>
      <c r="I502" s="178">
        <v>12636</v>
      </c>
    </row>
    <row r="503" spans="1:9">
      <c r="A503" s="179" t="s">
        <v>528</v>
      </c>
      <c r="B503" s="179" t="s">
        <v>516</v>
      </c>
      <c r="C503" s="186">
        <v>39306</v>
      </c>
      <c r="D503" s="188">
        <f t="shared" si="10"/>
        <v>2007</v>
      </c>
      <c r="E503" s="183" t="s">
        <v>524</v>
      </c>
      <c r="F503" s="178">
        <v>300</v>
      </c>
      <c r="G503" s="178">
        <v>6462</v>
      </c>
      <c r="H503" s="178">
        <v>2952</v>
      </c>
      <c r="I503" s="178">
        <v>3510</v>
      </c>
    </row>
    <row r="504" spans="1:9">
      <c r="A504" s="179" t="s">
        <v>423</v>
      </c>
      <c r="B504" s="179" t="s">
        <v>518</v>
      </c>
      <c r="C504" s="186">
        <v>39307</v>
      </c>
      <c r="D504" s="188">
        <f t="shared" si="10"/>
        <v>2007</v>
      </c>
      <c r="E504" s="183" t="s">
        <v>531</v>
      </c>
      <c r="F504" s="178">
        <v>700</v>
      </c>
      <c r="G504" s="178">
        <v>16576</v>
      </c>
      <c r="H504" s="178">
        <v>7154</v>
      </c>
      <c r="I504" s="178">
        <v>9422</v>
      </c>
    </row>
    <row r="505" spans="1:9">
      <c r="A505" s="179" t="s">
        <v>429</v>
      </c>
      <c r="B505" s="179" t="s">
        <v>516</v>
      </c>
      <c r="C505" s="186">
        <v>39309</v>
      </c>
      <c r="D505" s="188">
        <f t="shared" si="10"/>
        <v>2007</v>
      </c>
      <c r="E505" s="183" t="s">
        <v>531</v>
      </c>
      <c r="F505" s="178">
        <v>600</v>
      </c>
      <c r="G505" s="178">
        <v>12048</v>
      </c>
      <c r="H505" s="178">
        <v>5904</v>
      </c>
      <c r="I505" s="178">
        <v>6144</v>
      </c>
    </row>
    <row r="506" spans="1:9">
      <c r="A506" s="179" t="s">
        <v>423</v>
      </c>
      <c r="B506" s="179" t="s">
        <v>516</v>
      </c>
      <c r="C506" s="186">
        <v>39311</v>
      </c>
      <c r="D506" s="188">
        <f t="shared" si="10"/>
        <v>2007</v>
      </c>
      <c r="E506" s="183" t="s">
        <v>529</v>
      </c>
      <c r="F506" s="178">
        <v>700</v>
      </c>
      <c r="G506" s="178">
        <v>16219</v>
      </c>
      <c r="H506" s="178">
        <v>6888</v>
      </c>
      <c r="I506" s="178">
        <v>9331</v>
      </c>
    </row>
    <row r="507" spans="1:9">
      <c r="A507" s="179" t="s">
        <v>528</v>
      </c>
      <c r="B507" s="179" t="s">
        <v>517</v>
      </c>
      <c r="C507" s="186">
        <v>39313</v>
      </c>
      <c r="D507" s="188">
        <f t="shared" si="10"/>
        <v>2007</v>
      </c>
      <c r="E507" s="183" t="s">
        <v>529</v>
      </c>
      <c r="F507" s="178">
        <v>400</v>
      </c>
      <c r="G507" s="178">
        <v>7944</v>
      </c>
      <c r="H507" s="178">
        <v>3388</v>
      </c>
      <c r="I507" s="178">
        <v>4556</v>
      </c>
    </row>
    <row r="508" spans="1:9">
      <c r="A508" s="179" t="s">
        <v>429</v>
      </c>
      <c r="B508" s="179" t="s">
        <v>518</v>
      </c>
      <c r="C508" s="186">
        <v>39313</v>
      </c>
      <c r="D508" s="188">
        <f t="shared" si="10"/>
        <v>2007</v>
      </c>
      <c r="E508" s="183" t="s">
        <v>529</v>
      </c>
      <c r="F508" s="178">
        <v>100</v>
      </c>
      <c r="G508" s="178">
        <v>2547</v>
      </c>
      <c r="H508" s="178">
        <v>1022</v>
      </c>
      <c r="I508" s="178">
        <v>1525</v>
      </c>
    </row>
    <row r="509" spans="1:9">
      <c r="A509" s="179" t="s">
        <v>429</v>
      </c>
      <c r="B509" s="179" t="s">
        <v>517</v>
      </c>
      <c r="C509" s="186">
        <v>39316</v>
      </c>
      <c r="D509" s="188">
        <f t="shared" si="10"/>
        <v>2007</v>
      </c>
      <c r="E509" s="183" t="s">
        <v>545</v>
      </c>
      <c r="F509" s="178">
        <v>300</v>
      </c>
      <c r="G509" s="178">
        <v>5532</v>
      </c>
      <c r="H509" s="178">
        <v>2541</v>
      </c>
      <c r="I509" s="178">
        <v>2991</v>
      </c>
    </row>
    <row r="510" spans="1:9">
      <c r="A510" s="179" t="s">
        <v>423</v>
      </c>
      <c r="B510" s="179" t="s">
        <v>517</v>
      </c>
      <c r="C510" s="186">
        <v>39320</v>
      </c>
      <c r="D510" s="188">
        <f t="shared" si="10"/>
        <v>2007</v>
      </c>
      <c r="E510" s="183" t="s">
        <v>531</v>
      </c>
      <c r="F510" s="178">
        <v>600</v>
      </c>
      <c r="G510" s="178">
        <v>10404</v>
      </c>
      <c r="H510" s="178">
        <v>5082</v>
      </c>
      <c r="I510" s="178">
        <v>5322</v>
      </c>
    </row>
    <row r="511" spans="1:9">
      <c r="A511" s="179" t="s">
        <v>528</v>
      </c>
      <c r="B511" s="179" t="s">
        <v>517</v>
      </c>
      <c r="C511" s="186">
        <v>39320</v>
      </c>
      <c r="D511" s="188">
        <f t="shared" si="10"/>
        <v>2007</v>
      </c>
      <c r="E511" s="183" t="s">
        <v>524</v>
      </c>
      <c r="F511" s="178">
        <v>300</v>
      </c>
      <c r="G511" s="178">
        <v>5592</v>
      </c>
      <c r="H511" s="178">
        <v>2541</v>
      </c>
      <c r="I511" s="178">
        <v>3051</v>
      </c>
    </row>
    <row r="512" spans="1:9">
      <c r="A512" s="179" t="s">
        <v>429</v>
      </c>
      <c r="B512" s="179" t="s">
        <v>517</v>
      </c>
      <c r="C512" s="186">
        <v>39322</v>
      </c>
      <c r="D512" s="188">
        <f t="shared" si="10"/>
        <v>2007</v>
      </c>
      <c r="E512" s="183" t="s">
        <v>534</v>
      </c>
      <c r="F512" s="178">
        <v>100</v>
      </c>
      <c r="G512" s="178">
        <v>1819</v>
      </c>
      <c r="H512" s="178">
        <v>847</v>
      </c>
      <c r="I512" s="178">
        <v>972</v>
      </c>
    </row>
    <row r="513" spans="1:9">
      <c r="A513" s="179" t="s">
        <v>429</v>
      </c>
      <c r="B513" s="179" t="s">
        <v>516</v>
      </c>
      <c r="C513" s="186">
        <v>39324</v>
      </c>
      <c r="D513" s="188">
        <f t="shared" si="10"/>
        <v>2007</v>
      </c>
      <c r="E513" s="183" t="s">
        <v>523</v>
      </c>
      <c r="F513" s="178">
        <v>200</v>
      </c>
      <c r="G513" s="178">
        <v>4696</v>
      </c>
      <c r="H513" s="178">
        <v>1968</v>
      </c>
      <c r="I513" s="178">
        <v>2728</v>
      </c>
    </row>
    <row r="514" spans="1:9">
      <c r="A514" s="179" t="s">
        <v>528</v>
      </c>
      <c r="B514" s="179" t="s">
        <v>517</v>
      </c>
      <c r="C514" s="186">
        <v>39336</v>
      </c>
      <c r="D514" s="188">
        <f t="shared" ref="D514:D564" si="11">YEAR(C514)</f>
        <v>2007</v>
      </c>
      <c r="E514" s="183" t="s">
        <v>523</v>
      </c>
      <c r="F514" s="178">
        <v>900</v>
      </c>
      <c r="G514" s="178">
        <v>17712</v>
      </c>
      <c r="H514" s="178">
        <v>7623</v>
      </c>
      <c r="I514" s="178">
        <v>10089</v>
      </c>
    </row>
    <row r="515" spans="1:9">
      <c r="A515" s="179" t="s">
        <v>423</v>
      </c>
      <c r="B515" s="179" t="s">
        <v>516</v>
      </c>
      <c r="C515" s="186">
        <v>39338</v>
      </c>
      <c r="D515" s="188">
        <f t="shared" si="11"/>
        <v>2007</v>
      </c>
      <c r="E515" s="183" t="s">
        <v>533</v>
      </c>
      <c r="F515" s="178">
        <v>500</v>
      </c>
      <c r="G515" s="178">
        <v>11330</v>
      </c>
      <c r="H515" s="178">
        <v>4920</v>
      </c>
      <c r="I515" s="178">
        <v>6410</v>
      </c>
    </row>
    <row r="516" spans="1:9">
      <c r="A516" s="179" t="s">
        <v>528</v>
      </c>
      <c r="B516" s="179" t="s">
        <v>518</v>
      </c>
      <c r="C516" s="186">
        <v>39339</v>
      </c>
      <c r="D516" s="188">
        <f t="shared" si="11"/>
        <v>2007</v>
      </c>
      <c r="E516" s="183" t="s">
        <v>532</v>
      </c>
      <c r="F516" s="178">
        <v>200</v>
      </c>
      <c r="G516" s="178">
        <v>4264</v>
      </c>
      <c r="H516" s="178">
        <v>2044</v>
      </c>
      <c r="I516" s="178">
        <v>2220</v>
      </c>
    </row>
    <row r="517" spans="1:9">
      <c r="A517" s="179" t="s">
        <v>528</v>
      </c>
      <c r="B517" s="179" t="s">
        <v>518</v>
      </c>
      <c r="C517" s="186">
        <v>39344</v>
      </c>
      <c r="D517" s="188">
        <f t="shared" si="11"/>
        <v>2007</v>
      </c>
      <c r="E517" s="183" t="s">
        <v>523</v>
      </c>
      <c r="F517" s="178">
        <v>900</v>
      </c>
      <c r="G517" s="178">
        <v>22014</v>
      </c>
      <c r="H517" s="178">
        <v>9198</v>
      </c>
      <c r="I517" s="178">
        <v>12816</v>
      </c>
    </row>
    <row r="518" spans="1:9">
      <c r="A518" s="179" t="s">
        <v>429</v>
      </c>
      <c r="B518" s="179" t="s">
        <v>517</v>
      </c>
      <c r="C518" s="186">
        <v>39347</v>
      </c>
      <c r="D518" s="188">
        <f t="shared" si="11"/>
        <v>2007</v>
      </c>
      <c r="E518" s="183" t="s">
        <v>532</v>
      </c>
      <c r="F518" s="178">
        <v>800</v>
      </c>
      <c r="G518" s="178">
        <v>13936</v>
      </c>
      <c r="H518" s="178">
        <v>6776</v>
      </c>
      <c r="I518" s="178">
        <v>7160</v>
      </c>
    </row>
    <row r="519" spans="1:9">
      <c r="A519" s="179" t="s">
        <v>423</v>
      </c>
      <c r="B519" s="179" t="s">
        <v>516</v>
      </c>
      <c r="C519" s="186">
        <v>39350</v>
      </c>
      <c r="D519" s="188">
        <f t="shared" si="11"/>
        <v>2007</v>
      </c>
      <c r="E519" s="183" t="s">
        <v>530</v>
      </c>
      <c r="F519" s="178">
        <v>900</v>
      </c>
      <c r="G519" s="178">
        <v>19989</v>
      </c>
      <c r="H519" s="178">
        <v>8856</v>
      </c>
      <c r="I519" s="178">
        <v>11133</v>
      </c>
    </row>
    <row r="520" spans="1:9">
      <c r="A520" s="179" t="s">
        <v>423</v>
      </c>
      <c r="B520" s="179" t="s">
        <v>518</v>
      </c>
      <c r="C520" s="186">
        <v>39351</v>
      </c>
      <c r="D520" s="188">
        <f t="shared" si="11"/>
        <v>2007</v>
      </c>
      <c r="E520" s="183" t="s">
        <v>524</v>
      </c>
      <c r="F520" s="178">
        <v>100</v>
      </c>
      <c r="G520" s="178">
        <v>2466</v>
      </c>
      <c r="H520" s="178">
        <v>1022</v>
      </c>
      <c r="I520" s="178">
        <v>1444</v>
      </c>
    </row>
    <row r="521" spans="1:9">
      <c r="A521" s="179" t="s">
        <v>423</v>
      </c>
      <c r="B521" s="179" t="s">
        <v>517</v>
      </c>
      <c r="C521" s="186">
        <v>39353</v>
      </c>
      <c r="D521" s="188">
        <f t="shared" si="11"/>
        <v>2007</v>
      </c>
      <c r="E521" s="183" t="s">
        <v>534</v>
      </c>
      <c r="F521" s="178">
        <v>100</v>
      </c>
      <c r="G521" s="178">
        <v>1957</v>
      </c>
      <c r="H521" s="178">
        <v>847</v>
      </c>
      <c r="I521" s="178">
        <v>1110</v>
      </c>
    </row>
    <row r="522" spans="1:9">
      <c r="A522" s="179" t="s">
        <v>429</v>
      </c>
      <c r="B522" s="179" t="s">
        <v>517</v>
      </c>
      <c r="C522" s="186">
        <v>39354</v>
      </c>
      <c r="D522" s="188">
        <f t="shared" si="11"/>
        <v>2007</v>
      </c>
      <c r="E522" s="183" t="s">
        <v>525</v>
      </c>
      <c r="F522" s="178">
        <v>800</v>
      </c>
      <c r="G522" s="178">
        <v>16288</v>
      </c>
      <c r="H522" s="178">
        <v>6776</v>
      </c>
      <c r="I522" s="178">
        <v>9512</v>
      </c>
    </row>
    <row r="523" spans="1:9">
      <c r="A523" s="179" t="s">
        <v>423</v>
      </c>
      <c r="B523" s="179" t="s">
        <v>516</v>
      </c>
      <c r="C523" s="186">
        <v>39355</v>
      </c>
      <c r="D523" s="188">
        <f t="shared" si="11"/>
        <v>2007</v>
      </c>
      <c r="E523" s="183" t="s">
        <v>523</v>
      </c>
      <c r="F523" s="178">
        <v>800</v>
      </c>
      <c r="G523" s="178">
        <v>16016</v>
      </c>
      <c r="H523" s="178">
        <v>7872</v>
      </c>
      <c r="I523" s="178">
        <v>8144</v>
      </c>
    </row>
    <row r="524" spans="1:9">
      <c r="A524" s="179" t="s">
        <v>528</v>
      </c>
      <c r="B524" s="179" t="s">
        <v>516</v>
      </c>
      <c r="C524" s="186">
        <v>39369</v>
      </c>
      <c r="D524" s="188">
        <f t="shared" si="11"/>
        <v>2007</v>
      </c>
      <c r="E524" s="183" t="s">
        <v>534</v>
      </c>
      <c r="F524" s="178">
        <v>500</v>
      </c>
      <c r="G524" s="178">
        <v>11530</v>
      </c>
      <c r="H524" s="178">
        <v>4920</v>
      </c>
      <c r="I524" s="178">
        <v>6610</v>
      </c>
    </row>
    <row r="525" spans="1:9">
      <c r="A525" s="179" t="s">
        <v>528</v>
      </c>
      <c r="B525" s="179" t="s">
        <v>518</v>
      </c>
      <c r="C525" s="186">
        <v>39369</v>
      </c>
      <c r="D525" s="188">
        <f t="shared" si="11"/>
        <v>2007</v>
      </c>
      <c r="E525" s="183" t="s">
        <v>534</v>
      </c>
      <c r="F525" s="178">
        <v>300</v>
      </c>
      <c r="G525" s="178">
        <v>6438</v>
      </c>
      <c r="H525" s="178">
        <v>3066</v>
      </c>
      <c r="I525" s="178">
        <v>3372</v>
      </c>
    </row>
    <row r="526" spans="1:9">
      <c r="A526" s="179" t="s">
        <v>429</v>
      </c>
      <c r="B526" s="179" t="s">
        <v>517</v>
      </c>
      <c r="C526" s="186">
        <v>39371</v>
      </c>
      <c r="D526" s="188">
        <f t="shared" si="11"/>
        <v>2007</v>
      </c>
      <c r="E526" s="183" t="s">
        <v>533</v>
      </c>
      <c r="F526" s="178">
        <v>400</v>
      </c>
      <c r="G526" s="178">
        <v>8456</v>
      </c>
      <c r="H526" s="178">
        <v>3388</v>
      </c>
      <c r="I526" s="178">
        <v>5068</v>
      </c>
    </row>
    <row r="527" spans="1:9">
      <c r="A527" s="179" t="s">
        <v>528</v>
      </c>
      <c r="B527" s="179" t="s">
        <v>517</v>
      </c>
      <c r="C527" s="186">
        <v>39373</v>
      </c>
      <c r="D527" s="188">
        <f t="shared" si="11"/>
        <v>2007</v>
      </c>
      <c r="E527" s="183" t="s">
        <v>531</v>
      </c>
      <c r="F527" s="178">
        <v>600</v>
      </c>
      <c r="G527" s="178">
        <v>11124</v>
      </c>
      <c r="H527" s="178">
        <v>5082</v>
      </c>
      <c r="I527" s="178">
        <v>6042</v>
      </c>
    </row>
    <row r="528" spans="1:9">
      <c r="A528" s="179" t="s">
        <v>429</v>
      </c>
      <c r="B528" s="179" t="s">
        <v>516</v>
      </c>
      <c r="C528" s="186">
        <v>39373</v>
      </c>
      <c r="D528" s="188">
        <f t="shared" si="11"/>
        <v>2007</v>
      </c>
      <c r="E528" s="183" t="s">
        <v>529</v>
      </c>
      <c r="F528" s="178">
        <v>600</v>
      </c>
      <c r="G528" s="178">
        <v>13332</v>
      </c>
      <c r="H528" s="178">
        <v>5904</v>
      </c>
      <c r="I528" s="178">
        <v>7428</v>
      </c>
    </row>
    <row r="529" spans="1:9">
      <c r="A529" s="179" t="s">
        <v>423</v>
      </c>
      <c r="B529" s="179" t="s">
        <v>517</v>
      </c>
      <c r="C529" s="186">
        <v>39378</v>
      </c>
      <c r="D529" s="188">
        <f t="shared" si="11"/>
        <v>2007</v>
      </c>
      <c r="E529" s="183" t="s">
        <v>530</v>
      </c>
      <c r="F529" s="178">
        <v>500</v>
      </c>
      <c r="G529" s="178">
        <v>9575</v>
      </c>
      <c r="H529" s="178">
        <v>4235</v>
      </c>
      <c r="I529" s="178">
        <v>5340</v>
      </c>
    </row>
    <row r="530" spans="1:9">
      <c r="A530" s="179" t="s">
        <v>423</v>
      </c>
      <c r="B530" s="179" t="s">
        <v>518</v>
      </c>
      <c r="C530" s="186">
        <v>39378</v>
      </c>
      <c r="D530" s="188">
        <f t="shared" si="11"/>
        <v>2007</v>
      </c>
      <c r="E530" s="183" t="s">
        <v>529</v>
      </c>
      <c r="F530" s="178">
        <v>800</v>
      </c>
      <c r="G530" s="178">
        <v>17496</v>
      </c>
      <c r="H530" s="178">
        <v>8176</v>
      </c>
      <c r="I530" s="178">
        <v>9320</v>
      </c>
    </row>
    <row r="531" spans="1:9">
      <c r="A531" s="179" t="s">
        <v>528</v>
      </c>
      <c r="B531" s="179" t="s">
        <v>518</v>
      </c>
      <c r="C531" s="186">
        <v>39378</v>
      </c>
      <c r="D531" s="188">
        <f t="shared" si="11"/>
        <v>2007</v>
      </c>
      <c r="E531" s="183" t="s">
        <v>523</v>
      </c>
      <c r="F531" s="178">
        <v>500</v>
      </c>
      <c r="G531" s="178">
        <v>11240</v>
      </c>
      <c r="H531" s="178">
        <v>5110</v>
      </c>
      <c r="I531" s="178">
        <v>6130</v>
      </c>
    </row>
    <row r="532" spans="1:9">
      <c r="A532" s="179" t="s">
        <v>528</v>
      </c>
      <c r="B532" s="179" t="s">
        <v>518</v>
      </c>
      <c r="C532" s="186">
        <v>39379</v>
      </c>
      <c r="D532" s="188">
        <f t="shared" si="11"/>
        <v>2007</v>
      </c>
      <c r="E532" s="183" t="s">
        <v>533</v>
      </c>
      <c r="F532" s="178">
        <v>500</v>
      </c>
      <c r="G532" s="178">
        <v>12505</v>
      </c>
      <c r="H532" s="178">
        <v>5110</v>
      </c>
      <c r="I532" s="178">
        <v>7395</v>
      </c>
    </row>
    <row r="533" spans="1:9">
      <c r="A533" s="179" t="s">
        <v>528</v>
      </c>
      <c r="B533" s="179" t="s">
        <v>518</v>
      </c>
      <c r="C533" s="186">
        <v>39379</v>
      </c>
      <c r="D533" s="188">
        <f t="shared" si="11"/>
        <v>2007</v>
      </c>
      <c r="E533" s="183" t="s">
        <v>538</v>
      </c>
      <c r="F533" s="178">
        <v>400</v>
      </c>
      <c r="G533" s="178">
        <v>9660</v>
      </c>
      <c r="H533" s="178">
        <v>4088</v>
      </c>
      <c r="I533" s="178">
        <v>5572</v>
      </c>
    </row>
    <row r="534" spans="1:9">
      <c r="A534" s="179" t="s">
        <v>429</v>
      </c>
      <c r="B534" s="179" t="s">
        <v>516</v>
      </c>
      <c r="C534" s="186">
        <v>39384</v>
      </c>
      <c r="D534" s="188">
        <f t="shared" si="11"/>
        <v>2007</v>
      </c>
      <c r="E534" s="183" t="s">
        <v>531</v>
      </c>
      <c r="F534" s="178">
        <v>300</v>
      </c>
      <c r="G534" s="178">
        <v>6240</v>
      </c>
      <c r="H534" s="178">
        <v>2952</v>
      </c>
      <c r="I534" s="178">
        <v>3288</v>
      </c>
    </row>
    <row r="535" spans="1:9">
      <c r="A535" s="179" t="s">
        <v>528</v>
      </c>
      <c r="B535" s="179" t="s">
        <v>516</v>
      </c>
      <c r="C535" s="186">
        <v>39385</v>
      </c>
      <c r="D535" s="188">
        <f t="shared" si="11"/>
        <v>2007</v>
      </c>
      <c r="E535" s="183" t="s">
        <v>549</v>
      </c>
      <c r="F535" s="178">
        <v>900</v>
      </c>
      <c r="G535" s="178">
        <v>20610</v>
      </c>
      <c r="H535" s="178">
        <v>8856</v>
      </c>
      <c r="I535" s="178">
        <v>11754</v>
      </c>
    </row>
    <row r="536" spans="1:9">
      <c r="A536" s="179" t="s">
        <v>528</v>
      </c>
      <c r="B536" s="179" t="s">
        <v>517</v>
      </c>
      <c r="C536" s="186">
        <v>39385</v>
      </c>
      <c r="D536" s="188">
        <f t="shared" si="11"/>
        <v>2007</v>
      </c>
      <c r="E536" s="183" t="s">
        <v>529</v>
      </c>
      <c r="F536" s="178">
        <v>300</v>
      </c>
      <c r="G536" s="178">
        <v>6156</v>
      </c>
      <c r="H536" s="178">
        <v>2541</v>
      </c>
      <c r="I536" s="178">
        <v>3615</v>
      </c>
    </row>
    <row r="537" spans="1:9">
      <c r="A537" s="179" t="s">
        <v>429</v>
      </c>
      <c r="B537" s="179" t="s">
        <v>518</v>
      </c>
      <c r="C537" s="186">
        <v>39387</v>
      </c>
      <c r="D537" s="188">
        <f t="shared" si="11"/>
        <v>2007</v>
      </c>
      <c r="E537" s="183" t="s">
        <v>523</v>
      </c>
      <c r="F537" s="178">
        <v>500</v>
      </c>
      <c r="G537" s="178">
        <v>10645</v>
      </c>
      <c r="H537" s="178">
        <v>5110</v>
      </c>
      <c r="I537" s="178">
        <v>5535</v>
      </c>
    </row>
    <row r="538" spans="1:9">
      <c r="A538" s="179" t="s">
        <v>429</v>
      </c>
      <c r="B538" s="179" t="s">
        <v>516</v>
      </c>
      <c r="C538" s="186">
        <v>39388</v>
      </c>
      <c r="D538" s="188">
        <f t="shared" si="11"/>
        <v>2007</v>
      </c>
      <c r="E538" s="183" t="s">
        <v>533</v>
      </c>
      <c r="F538" s="178">
        <v>1000</v>
      </c>
      <c r="G538" s="178">
        <v>20090</v>
      </c>
      <c r="H538" s="178">
        <v>9840</v>
      </c>
      <c r="I538" s="178">
        <v>10250</v>
      </c>
    </row>
    <row r="539" spans="1:9">
      <c r="A539" s="179" t="s">
        <v>528</v>
      </c>
      <c r="B539" s="179" t="s">
        <v>518</v>
      </c>
      <c r="C539" s="186">
        <v>39390</v>
      </c>
      <c r="D539" s="188">
        <f t="shared" si="11"/>
        <v>2007</v>
      </c>
      <c r="E539" s="183" t="s">
        <v>532</v>
      </c>
      <c r="F539" s="178">
        <v>200</v>
      </c>
      <c r="G539" s="178">
        <v>4262</v>
      </c>
      <c r="H539" s="178">
        <v>2044</v>
      </c>
      <c r="I539" s="178">
        <v>2218</v>
      </c>
    </row>
    <row r="540" spans="1:9">
      <c r="A540" s="179" t="s">
        <v>423</v>
      </c>
      <c r="B540" s="179" t="s">
        <v>516</v>
      </c>
      <c r="C540" s="186">
        <v>39396</v>
      </c>
      <c r="D540" s="188">
        <f t="shared" si="11"/>
        <v>2007</v>
      </c>
      <c r="E540" s="183" t="s">
        <v>529</v>
      </c>
      <c r="F540" s="178">
        <v>100</v>
      </c>
      <c r="G540" s="178">
        <v>2157</v>
      </c>
      <c r="H540" s="178">
        <v>984</v>
      </c>
      <c r="I540" s="178">
        <v>1173</v>
      </c>
    </row>
    <row r="541" spans="1:9">
      <c r="A541" s="179" t="s">
        <v>528</v>
      </c>
      <c r="B541" s="179" t="s">
        <v>516</v>
      </c>
      <c r="C541" s="186">
        <v>39396</v>
      </c>
      <c r="D541" s="188">
        <f t="shared" si="11"/>
        <v>2007</v>
      </c>
      <c r="E541" s="183" t="s">
        <v>523</v>
      </c>
      <c r="F541" s="178">
        <v>800</v>
      </c>
      <c r="G541" s="178">
        <v>18504</v>
      </c>
      <c r="H541" s="178">
        <v>7872</v>
      </c>
      <c r="I541" s="178">
        <v>10632</v>
      </c>
    </row>
    <row r="542" spans="1:9">
      <c r="A542" s="179" t="s">
        <v>528</v>
      </c>
      <c r="B542" s="179" t="s">
        <v>516</v>
      </c>
      <c r="C542" s="186">
        <v>39398</v>
      </c>
      <c r="D542" s="188">
        <f t="shared" si="11"/>
        <v>2007</v>
      </c>
      <c r="E542" s="183" t="s">
        <v>525</v>
      </c>
      <c r="F542" s="178">
        <v>900</v>
      </c>
      <c r="G542" s="178">
        <v>21357</v>
      </c>
      <c r="H542" s="178">
        <v>8856</v>
      </c>
      <c r="I542" s="178">
        <v>12501</v>
      </c>
    </row>
    <row r="543" spans="1:9">
      <c r="A543" s="179" t="s">
        <v>423</v>
      </c>
      <c r="B543" s="179" t="s">
        <v>517</v>
      </c>
      <c r="C543" s="186">
        <v>39398</v>
      </c>
      <c r="D543" s="188">
        <f t="shared" si="11"/>
        <v>2007</v>
      </c>
      <c r="E543" s="183" t="s">
        <v>530</v>
      </c>
      <c r="F543" s="178">
        <v>800</v>
      </c>
      <c r="G543" s="178">
        <v>16144</v>
      </c>
      <c r="H543" s="178">
        <v>6776</v>
      </c>
      <c r="I543" s="178">
        <v>9368</v>
      </c>
    </row>
    <row r="544" spans="1:9">
      <c r="A544" s="179" t="s">
        <v>429</v>
      </c>
      <c r="B544" s="179" t="s">
        <v>516</v>
      </c>
      <c r="C544" s="186">
        <v>39400</v>
      </c>
      <c r="D544" s="188">
        <f t="shared" si="11"/>
        <v>2007</v>
      </c>
      <c r="E544" s="183" t="s">
        <v>523</v>
      </c>
      <c r="F544" s="178">
        <v>500</v>
      </c>
      <c r="G544" s="178">
        <v>9890</v>
      </c>
      <c r="H544" s="178">
        <v>4920</v>
      </c>
      <c r="I544" s="178">
        <v>4970</v>
      </c>
    </row>
    <row r="545" spans="1:9">
      <c r="A545" s="179" t="s">
        <v>423</v>
      </c>
      <c r="B545" s="179" t="s">
        <v>517</v>
      </c>
      <c r="C545" s="186">
        <v>39405</v>
      </c>
      <c r="D545" s="188">
        <f t="shared" si="11"/>
        <v>2007</v>
      </c>
      <c r="E545" s="183" t="s">
        <v>531</v>
      </c>
      <c r="F545" s="178">
        <v>100</v>
      </c>
      <c r="G545" s="178">
        <v>1882</v>
      </c>
      <c r="H545" s="178">
        <v>847</v>
      </c>
      <c r="I545" s="178">
        <v>1035</v>
      </c>
    </row>
    <row r="546" spans="1:9">
      <c r="A546" s="179" t="s">
        <v>423</v>
      </c>
      <c r="B546" s="179" t="s">
        <v>518</v>
      </c>
      <c r="C546" s="186">
        <v>39405</v>
      </c>
      <c r="D546" s="188">
        <f t="shared" si="11"/>
        <v>2007</v>
      </c>
      <c r="E546" s="183" t="s">
        <v>529</v>
      </c>
      <c r="F546" s="178">
        <v>500</v>
      </c>
      <c r="G546" s="178">
        <v>12575</v>
      </c>
      <c r="H546" s="178">
        <v>5110</v>
      </c>
      <c r="I546" s="178">
        <v>7465</v>
      </c>
    </row>
    <row r="547" spans="1:9">
      <c r="A547" s="179" t="s">
        <v>429</v>
      </c>
      <c r="B547" s="179" t="s">
        <v>517</v>
      </c>
      <c r="C547" s="186">
        <v>39405</v>
      </c>
      <c r="D547" s="188">
        <f t="shared" si="11"/>
        <v>2007</v>
      </c>
      <c r="E547" s="183" t="s">
        <v>524</v>
      </c>
      <c r="F547" s="178">
        <v>500</v>
      </c>
      <c r="G547" s="178">
        <v>10245</v>
      </c>
      <c r="H547" s="178">
        <v>4235</v>
      </c>
      <c r="I547" s="178">
        <v>6010</v>
      </c>
    </row>
    <row r="548" spans="1:9">
      <c r="A548" s="179" t="s">
        <v>528</v>
      </c>
      <c r="B548" s="179" t="s">
        <v>517</v>
      </c>
      <c r="C548" s="186">
        <v>39409</v>
      </c>
      <c r="D548" s="188">
        <f t="shared" si="11"/>
        <v>2007</v>
      </c>
      <c r="E548" s="183" t="s">
        <v>533</v>
      </c>
      <c r="F548" s="178">
        <v>700</v>
      </c>
      <c r="G548" s="178">
        <v>11858</v>
      </c>
      <c r="H548" s="178">
        <v>5929</v>
      </c>
      <c r="I548" s="178">
        <v>5929</v>
      </c>
    </row>
    <row r="549" spans="1:9">
      <c r="A549" s="179" t="s">
        <v>429</v>
      </c>
      <c r="B549" s="179" t="s">
        <v>516</v>
      </c>
      <c r="C549" s="186">
        <v>39411</v>
      </c>
      <c r="D549" s="188">
        <f t="shared" si="11"/>
        <v>2007</v>
      </c>
      <c r="E549" s="183" t="s">
        <v>542</v>
      </c>
      <c r="F549" s="178">
        <v>100</v>
      </c>
      <c r="G549" s="178">
        <v>2029</v>
      </c>
      <c r="H549" s="178">
        <v>984</v>
      </c>
      <c r="I549" s="178">
        <v>1045</v>
      </c>
    </row>
    <row r="550" spans="1:9">
      <c r="A550" s="179" t="s">
        <v>528</v>
      </c>
      <c r="B550" s="179" t="s">
        <v>516</v>
      </c>
      <c r="C550" s="186">
        <v>39412</v>
      </c>
      <c r="D550" s="188">
        <f t="shared" si="11"/>
        <v>2007</v>
      </c>
      <c r="E550" s="183" t="s">
        <v>524</v>
      </c>
      <c r="F550" s="178">
        <v>700</v>
      </c>
      <c r="G550" s="178">
        <v>15680</v>
      </c>
      <c r="H550" s="178">
        <v>6888</v>
      </c>
      <c r="I550" s="178">
        <v>8792</v>
      </c>
    </row>
    <row r="551" spans="1:9">
      <c r="A551" s="179" t="s">
        <v>528</v>
      </c>
      <c r="B551" s="179" t="s">
        <v>517</v>
      </c>
      <c r="C551" s="186">
        <v>39419</v>
      </c>
      <c r="D551" s="188">
        <f t="shared" si="11"/>
        <v>2007</v>
      </c>
      <c r="E551" s="183" t="s">
        <v>531</v>
      </c>
      <c r="F551" s="178">
        <v>700</v>
      </c>
      <c r="G551" s="178">
        <v>13314</v>
      </c>
      <c r="H551" s="178">
        <v>5929</v>
      </c>
      <c r="I551" s="178">
        <v>7385</v>
      </c>
    </row>
    <row r="552" spans="1:9">
      <c r="A552" s="179" t="s">
        <v>429</v>
      </c>
      <c r="B552" s="179" t="s">
        <v>517</v>
      </c>
      <c r="C552" s="186">
        <v>39420</v>
      </c>
      <c r="D552" s="188">
        <f t="shared" si="11"/>
        <v>2007</v>
      </c>
      <c r="E552" s="183" t="s">
        <v>530</v>
      </c>
      <c r="F552" s="178">
        <v>600</v>
      </c>
      <c r="G552" s="178">
        <v>11628</v>
      </c>
      <c r="H552" s="178">
        <v>5082</v>
      </c>
      <c r="I552" s="178">
        <v>6546</v>
      </c>
    </row>
    <row r="553" spans="1:9">
      <c r="A553" s="179" t="s">
        <v>429</v>
      </c>
      <c r="B553" s="179" t="s">
        <v>517</v>
      </c>
      <c r="C553" s="186">
        <v>39428</v>
      </c>
      <c r="D553" s="188">
        <f t="shared" si="11"/>
        <v>2007</v>
      </c>
      <c r="E553" s="183" t="s">
        <v>523</v>
      </c>
      <c r="F553" s="178">
        <v>600</v>
      </c>
      <c r="G553" s="178">
        <v>11208</v>
      </c>
      <c r="H553" s="178">
        <v>5082</v>
      </c>
      <c r="I553" s="178">
        <v>6126</v>
      </c>
    </row>
    <row r="554" spans="1:9">
      <c r="A554" s="179" t="s">
        <v>429</v>
      </c>
      <c r="B554" s="179" t="s">
        <v>517</v>
      </c>
      <c r="C554" s="186">
        <v>39430</v>
      </c>
      <c r="D554" s="188">
        <f t="shared" si="11"/>
        <v>2007</v>
      </c>
      <c r="E554" s="183" t="s">
        <v>534</v>
      </c>
      <c r="F554" s="178">
        <v>600</v>
      </c>
      <c r="G554" s="178">
        <v>12606</v>
      </c>
      <c r="H554" s="178">
        <v>5082</v>
      </c>
      <c r="I554" s="178">
        <v>7524</v>
      </c>
    </row>
    <row r="555" spans="1:9">
      <c r="A555" s="179" t="s">
        <v>429</v>
      </c>
      <c r="B555" s="179" t="s">
        <v>518</v>
      </c>
      <c r="C555" s="186">
        <v>39438</v>
      </c>
      <c r="D555" s="188">
        <f t="shared" si="11"/>
        <v>2007</v>
      </c>
      <c r="E555" s="183" t="s">
        <v>537</v>
      </c>
      <c r="F555" s="178">
        <v>1000</v>
      </c>
      <c r="G555" s="178">
        <v>23990</v>
      </c>
      <c r="H555" s="178">
        <v>10220</v>
      </c>
      <c r="I555" s="178">
        <v>13770</v>
      </c>
    </row>
    <row r="556" spans="1:9">
      <c r="A556" s="179" t="s">
        <v>429</v>
      </c>
      <c r="B556" s="179" t="s">
        <v>516</v>
      </c>
      <c r="C556" s="186">
        <v>39438</v>
      </c>
      <c r="D556" s="188">
        <f t="shared" si="11"/>
        <v>2007</v>
      </c>
      <c r="E556" s="183" t="s">
        <v>533</v>
      </c>
      <c r="F556" s="178">
        <v>700</v>
      </c>
      <c r="G556" s="178">
        <v>16408</v>
      </c>
      <c r="H556" s="178">
        <v>6888</v>
      </c>
      <c r="I556" s="178">
        <v>9520</v>
      </c>
    </row>
    <row r="557" spans="1:9">
      <c r="A557" s="179" t="s">
        <v>423</v>
      </c>
      <c r="B557" s="179" t="s">
        <v>517</v>
      </c>
      <c r="C557" s="186">
        <v>39441</v>
      </c>
      <c r="D557" s="188">
        <f t="shared" si="11"/>
        <v>2007</v>
      </c>
      <c r="E557" s="183" t="s">
        <v>534</v>
      </c>
      <c r="F557" s="178">
        <v>500</v>
      </c>
      <c r="G557" s="178">
        <v>8780</v>
      </c>
      <c r="H557" s="178">
        <v>4235</v>
      </c>
      <c r="I557" s="178">
        <v>4545</v>
      </c>
    </row>
    <row r="558" spans="1:9">
      <c r="A558" s="179" t="s">
        <v>429</v>
      </c>
      <c r="B558" s="179" t="s">
        <v>517</v>
      </c>
      <c r="C558" s="186">
        <v>39441</v>
      </c>
      <c r="D558" s="188">
        <f t="shared" si="11"/>
        <v>2007</v>
      </c>
      <c r="E558" s="183" t="s">
        <v>532</v>
      </c>
      <c r="F558" s="178">
        <v>900</v>
      </c>
      <c r="G558" s="178">
        <v>18243</v>
      </c>
      <c r="H558" s="178">
        <v>7623</v>
      </c>
      <c r="I558" s="178">
        <v>10620</v>
      </c>
    </row>
    <row r="559" spans="1:9">
      <c r="A559" s="179" t="s">
        <v>528</v>
      </c>
      <c r="B559" s="179" t="s">
        <v>517</v>
      </c>
      <c r="C559" s="186">
        <v>39442</v>
      </c>
      <c r="D559" s="188">
        <f t="shared" si="11"/>
        <v>2007</v>
      </c>
      <c r="E559" s="183" t="s">
        <v>529</v>
      </c>
      <c r="F559" s="178">
        <v>200</v>
      </c>
      <c r="G559" s="178">
        <v>3802</v>
      </c>
      <c r="H559" s="178">
        <v>1694</v>
      </c>
      <c r="I559" s="178">
        <v>2108</v>
      </c>
    </row>
    <row r="560" spans="1:9">
      <c r="A560" s="179" t="s">
        <v>528</v>
      </c>
      <c r="B560" s="179" t="s">
        <v>516</v>
      </c>
      <c r="C560" s="186">
        <v>39445</v>
      </c>
      <c r="D560" s="188">
        <f t="shared" si="11"/>
        <v>2007</v>
      </c>
      <c r="E560" s="183" t="s">
        <v>525</v>
      </c>
      <c r="F560" s="178">
        <v>500</v>
      </c>
      <c r="G560" s="178">
        <v>10195</v>
      </c>
      <c r="H560" s="178">
        <v>4920</v>
      </c>
      <c r="I560" s="178">
        <v>5275</v>
      </c>
    </row>
    <row r="561" spans="1:9">
      <c r="A561" s="179" t="s">
        <v>429</v>
      </c>
      <c r="B561" s="179" t="s">
        <v>517</v>
      </c>
      <c r="C561" s="186">
        <v>39445</v>
      </c>
      <c r="D561" s="188">
        <f t="shared" si="11"/>
        <v>2007</v>
      </c>
      <c r="E561" s="183" t="s">
        <v>547</v>
      </c>
      <c r="F561" s="178">
        <v>800</v>
      </c>
      <c r="G561" s="178">
        <v>14440</v>
      </c>
      <c r="H561" s="178">
        <v>6776</v>
      </c>
      <c r="I561" s="178">
        <v>7664</v>
      </c>
    </row>
    <row r="562" spans="1:9">
      <c r="A562" s="179" t="s">
        <v>528</v>
      </c>
      <c r="B562" s="179" t="s">
        <v>518</v>
      </c>
      <c r="C562" s="186">
        <v>39446</v>
      </c>
      <c r="D562" s="188">
        <f t="shared" si="11"/>
        <v>2007</v>
      </c>
      <c r="E562" s="183" t="s">
        <v>531</v>
      </c>
      <c r="F562" s="178">
        <v>500</v>
      </c>
      <c r="G562" s="178">
        <v>11000</v>
      </c>
      <c r="H562" s="178">
        <v>5110</v>
      </c>
      <c r="I562" s="178">
        <v>5890</v>
      </c>
    </row>
    <row r="563" spans="1:9">
      <c r="A563" s="179" t="s">
        <v>429</v>
      </c>
      <c r="B563" s="179" t="s">
        <v>516</v>
      </c>
      <c r="C563" s="186">
        <v>39446</v>
      </c>
      <c r="D563" s="188">
        <f t="shared" si="11"/>
        <v>2007</v>
      </c>
      <c r="E563" s="183" t="s">
        <v>534</v>
      </c>
      <c r="F563" s="178">
        <v>400</v>
      </c>
      <c r="G563" s="178">
        <v>8592</v>
      </c>
      <c r="H563" s="178">
        <v>3936</v>
      </c>
      <c r="I563" s="178">
        <v>4656</v>
      </c>
    </row>
    <row r="564" spans="1:9">
      <c r="A564" s="179" t="s">
        <v>528</v>
      </c>
      <c r="B564" s="179" t="s">
        <v>518</v>
      </c>
      <c r="C564" s="186">
        <v>39447</v>
      </c>
      <c r="D564" s="188">
        <f t="shared" si="11"/>
        <v>2007</v>
      </c>
      <c r="E564" s="183" t="s">
        <v>529</v>
      </c>
      <c r="F564" s="178">
        <v>500</v>
      </c>
      <c r="G564" s="178">
        <v>12550</v>
      </c>
      <c r="H564" s="178">
        <v>5110</v>
      </c>
      <c r="I564" s="178">
        <v>7440</v>
      </c>
    </row>
  </sheetData>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14"/>
  <sheetViews>
    <sheetView zoomScale="130" zoomScaleNormal="130" workbookViewId="0">
      <selection activeCell="C2" sqref="C2"/>
    </sheetView>
  </sheetViews>
  <sheetFormatPr defaultRowHeight="12.75"/>
  <cols>
    <col min="1" max="1" width="31.33203125" style="43" bestFit="1" customWidth="1"/>
    <col min="2" max="2" width="13.6640625" style="43" bestFit="1" customWidth="1"/>
    <col min="3" max="3" width="16.6640625" style="43" bestFit="1" customWidth="1"/>
    <col min="4" max="256" width="8.88671875" style="43"/>
    <col min="257" max="257" width="31.33203125" style="43" bestFit="1" customWidth="1"/>
    <col min="258" max="258" width="13.6640625" style="43" bestFit="1" customWidth="1"/>
    <col min="259" max="259" width="16.6640625" style="43" bestFit="1" customWidth="1"/>
    <col min="260" max="512" width="8.88671875" style="43"/>
    <col min="513" max="513" width="31.33203125" style="43" bestFit="1" customWidth="1"/>
    <col min="514" max="514" width="13.6640625" style="43" bestFit="1" customWidth="1"/>
    <col min="515" max="515" width="16.6640625" style="43" bestFit="1" customWidth="1"/>
    <col min="516" max="768" width="8.88671875" style="43"/>
    <col min="769" max="769" width="31.33203125" style="43" bestFit="1" customWidth="1"/>
    <col min="770" max="770" width="13.6640625" style="43" bestFit="1" customWidth="1"/>
    <col min="771" max="771" width="16.6640625" style="43" bestFit="1" customWidth="1"/>
    <col min="772" max="1024" width="8.88671875" style="43"/>
    <col min="1025" max="1025" width="31.33203125" style="43" bestFit="1" customWidth="1"/>
    <col min="1026" max="1026" width="13.6640625" style="43" bestFit="1" customWidth="1"/>
    <col min="1027" max="1027" width="16.6640625" style="43" bestFit="1" customWidth="1"/>
    <col min="1028" max="1280" width="8.88671875" style="43"/>
    <col min="1281" max="1281" width="31.33203125" style="43" bestFit="1" customWidth="1"/>
    <col min="1282" max="1282" width="13.6640625" style="43" bestFit="1" customWidth="1"/>
    <col min="1283" max="1283" width="16.6640625" style="43" bestFit="1" customWidth="1"/>
    <col min="1284" max="1536" width="8.88671875" style="43"/>
    <col min="1537" max="1537" width="31.33203125" style="43" bestFit="1" customWidth="1"/>
    <col min="1538" max="1538" width="13.6640625" style="43" bestFit="1" customWidth="1"/>
    <col min="1539" max="1539" width="16.6640625" style="43" bestFit="1" customWidth="1"/>
    <col min="1540" max="1792" width="8.88671875" style="43"/>
    <col min="1793" max="1793" width="31.33203125" style="43" bestFit="1" customWidth="1"/>
    <col min="1794" max="1794" width="13.6640625" style="43" bestFit="1" customWidth="1"/>
    <col min="1795" max="1795" width="16.6640625" style="43" bestFit="1" customWidth="1"/>
    <col min="1796" max="2048" width="8.88671875" style="43"/>
    <col min="2049" max="2049" width="31.33203125" style="43" bestFit="1" customWidth="1"/>
    <col min="2050" max="2050" width="13.6640625" style="43" bestFit="1" customWidth="1"/>
    <col min="2051" max="2051" width="16.6640625" style="43" bestFit="1" customWidth="1"/>
    <col min="2052" max="2304" width="8.88671875" style="43"/>
    <col min="2305" max="2305" width="31.33203125" style="43" bestFit="1" customWidth="1"/>
    <col min="2306" max="2306" width="13.6640625" style="43" bestFit="1" customWidth="1"/>
    <col min="2307" max="2307" width="16.6640625" style="43" bestFit="1" customWidth="1"/>
    <col min="2308" max="2560" width="8.88671875" style="43"/>
    <col min="2561" max="2561" width="31.33203125" style="43" bestFit="1" customWidth="1"/>
    <col min="2562" max="2562" width="13.6640625" style="43" bestFit="1" customWidth="1"/>
    <col min="2563" max="2563" width="16.6640625" style="43" bestFit="1" customWidth="1"/>
    <col min="2564" max="2816" width="8.88671875" style="43"/>
    <col min="2817" max="2817" width="31.33203125" style="43" bestFit="1" customWidth="1"/>
    <col min="2818" max="2818" width="13.6640625" style="43" bestFit="1" customWidth="1"/>
    <col min="2819" max="2819" width="16.6640625" style="43" bestFit="1" customWidth="1"/>
    <col min="2820" max="3072" width="8.88671875" style="43"/>
    <col min="3073" max="3073" width="31.33203125" style="43" bestFit="1" customWidth="1"/>
    <col min="3074" max="3074" width="13.6640625" style="43" bestFit="1" customWidth="1"/>
    <col min="3075" max="3075" width="16.6640625" style="43" bestFit="1" customWidth="1"/>
    <col min="3076" max="3328" width="8.88671875" style="43"/>
    <col min="3329" max="3329" width="31.33203125" style="43" bestFit="1" customWidth="1"/>
    <col min="3330" max="3330" width="13.6640625" style="43" bestFit="1" customWidth="1"/>
    <col min="3331" max="3331" width="16.6640625" style="43" bestFit="1" customWidth="1"/>
    <col min="3332" max="3584" width="8.88671875" style="43"/>
    <col min="3585" max="3585" width="31.33203125" style="43" bestFit="1" customWidth="1"/>
    <col min="3586" max="3586" width="13.6640625" style="43" bestFit="1" customWidth="1"/>
    <col min="3587" max="3587" width="16.6640625" style="43" bestFit="1" customWidth="1"/>
    <col min="3588" max="3840" width="8.88671875" style="43"/>
    <col min="3841" max="3841" width="31.33203125" style="43" bestFit="1" customWidth="1"/>
    <col min="3842" max="3842" width="13.6640625" style="43" bestFit="1" customWidth="1"/>
    <col min="3843" max="3843" width="16.6640625" style="43" bestFit="1" customWidth="1"/>
    <col min="3844" max="4096" width="8.88671875" style="43"/>
    <col min="4097" max="4097" width="31.33203125" style="43" bestFit="1" customWidth="1"/>
    <col min="4098" max="4098" width="13.6640625" style="43" bestFit="1" customWidth="1"/>
    <col min="4099" max="4099" width="16.6640625" style="43" bestFit="1" customWidth="1"/>
    <col min="4100" max="4352" width="8.88671875" style="43"/>
    <col min="4353" max="4353" width="31.33203125" style="43" bestFit="1" customWidth="1"/>
    <col min="4354" max="4354" width="13.6640625" style="43" bestFit="1" customWidth="1"/>
    <col min="4355" max="4355" width="16.6640625" style="43" bestFit="1" customWidth="1"/>
    <col min="4356" max="4608" width="8.88671875" style="43"/>
    <col min="4609" max="4609" width="31.33203125" style="43" bestFit="1" customWidth="1"/>
    <col min="4610" max="4610" width="13.6640625" style="43" bestFit="1" customWidth="1"/>
    <col min="4611" max="4611" width="16.6640625" style="43" bestFit="1" customWidth="1"/>
    <col min="4612" max="4864" width="8.88671875" style="43"/>
    <col min="4865" max="4865" width="31.33203125" style="43" bestFit="1" customWidth="1"/>
    <col min="4866" max="4866" width="13.6640625" style="43" bestFit="1" customWidth="1"/>
    <col min="4867" max="4867" width="16.6640625" style="43" bestFit="1" customWidth="1"/>
    <col min="4868" max="5120" width="8.88671875" style="43"/>
    <col min="5121" max="5121" width="31.33203125" style="43" bestFit="1" customWidth="1"/>
    <col min="5122" max="5122" width="13.6640625" style="43" bestFit="1" customWidth="1"/>
    <col min="5123" max="5123" width="16.6640625" style="43" bestFit="1" customWidth="1"/>
    <col min="5124" max="5376" width="8.88671875" style="43"/>
    <col min="5377" max="5377" width="31.33203125" style="43" bestFit="1" customWidth="1"/>
    <col min="5378" max="5378" width="13.6640625" style="43" bestFit="1" customWidth="1"/>
    <col min="5379" max="5379" width="16.6640625" style="43" bestFit="1" customWidth="1"/>
    <col min="5380" max="5632" width="8.88671875" style="43"/>
    <col min="5633" max="5633" width="31.33203125" style="43" bestFit="1" customWidth="1"/>
    <col min="5634" max="5634" width="13.6640625" style="43" bestFit="1" customWidth="1"/>
    <col min="5635" max="5635" width="16.6640625" style="43" bestFit="1" customWidth="1"/>
    <col min="5636" max="5888" width="8.88671875" style="43"/>
    <col min="5889" max="5889" width="31.33203125" style="43" bestFit="1" customWidth="1"/>
    <col min="5890" max="5890" width="13.6640625" style="43" bestFit="1" customWidth="1"/>
    <col min="5891" max="5891" width="16.6640625" style="43" bestFit="1" customWidth="1"/>
    <col min="5892" max="6144" width="8.88671875" style="43"/>
    <col min="6145" max="6145" width="31.33203125" style="43" bestFit="1" customWidth="1"/>
    <col min="6146" max="6146" width="13.6640625" style="43" bestFit="1" customWidth="1"/>
    <col min="6147" max="6147" width="16.6640625" style="43" bestFit="1" customWidth="1"/>
    <col min="6148" max="6400" width="8.88671875" style="43"/>
    <col min="6401" max="6401" width="31.33203125" style="43" bestFit="1" customWidth="1"/>
    <col min="6402" max="6402" width="13.6640625" style="43" bestFit="1" customWidth="1"/>
    <col min="6403" max="6403" width="16.6640625" style="43" bestFit="1" customWidth="1"/>
    <col min="6404" max="6656" width="8.88671875" style="43"/>
    <col min="6657" max="6657" width="31.33203125" style="43" bestFit="1" customWidth="1"/>
    <col min="6658" max="6658" width="13.6640625" style="43" bestFit="1" customWidth="1"/>
    <col min="6659" max="6659" width="16.6640625" style="43" bestFit="1" customWidth="1"/>
    <col min="6660" max="6912" width="8.88671875" style="43"/>
    <col min="6913" max="6913" width="31.33203125" style="43" bestFit="1" customWidth="1"/>
    <col min="6914" max="6914" width="13.6640625" style="43" bestFit="1" customWidth="1"/>
    <col min="6915" max="6915" width="16.6640625" style="43" bestFit="1" customWidth="1"/>
    <col min="6916" max="7168" width="8.88671875" style="43"/>
    <col min="7169" max="7169" width="31.33203125" style="43" bestFit="1" customWidth="1"/>
    <col min="7170" max="7170" width="13.6640625" style="43" bestFit="1" customWidth="1"/>
    <col min="7171" max="7171" width="16.6640625" style="43" bestFit="1" customWidth="1"/>
    <col min="7172" max="7424" width="8.88671875" style="43"/>
    <col min="7425" max="7425" width="31.33203125" style="43" bestFit="1" customWidth="1"/>
    <col min="7426" max="7426" width="13.6640625" style="43" bestFit="1" customWidth="1"/>
    <col min="7427" max="7427" width="16.6640625" style="43" bestFit="1" customWidth="1"/>
    <col min="7428" max="7680" width="8.88671875" style="43"/>
    <col min="7681" max="7681" width="31.33203125" style="43" bestFit="1" customWidth="1"/>
    <col min="7682" max="7682" width="13.6640625" style="43" bestFit="1" customWidth="1"/>
    <col min="7683" max="7683" width="16.6640625" style="43" bestFit="1" customWidth="1"/>
    <col min="7684" max="7936" width="8.88671875" style="43"/>
    <col min="7937" max="7937" width="31.33203125" style="43" bestFit="1" customWidth="1"/>
    <col min="7938" max="7938" width="13.6640625" style="43" bestFit="1" customWidth="1"/>
    <col min="7939" max="7939" width="16.6640625" style="43" bestFit="1" customWidth="1"/>
    <col min="7940" max="8192" width="8.88671875" style="43"/>
    <col min="8193" max="8193" width="31.33203125" style="43" bestFit="1" customWidth="1"/>
    <col min="8194" max="8194" width="13.6640625" style="43" bestFit="1" customWidth="1"/>
    <col min="8195" max="8195" width="16.6640625" style="43" bestFit="1" customWidth="1"/>
    <col min="8196" max="8448" width="8.88671875" style="43"/>
    <col min="8449" max="8449" width="31.33203125" style="43" bestFit="1" customWidth="1"/>
    <col min="8450" max="8450" width="13.6640625" style="43" bestFit="1" customWidth="1"/>
    <col min="8451" max="8451" width="16.6640625" style="43" bestFit="1" customWidth="1"/>
    <col min="8452" max="8704" width="8.88671875" style="43"/>
    <col min="8705" max="8705" width="31.33203125" style="43" bestFit="1" customWidth="1"/>
    <col min="8706" max="8706" width="13.6640625" style="43" bestFit="1" customWidth="1"/>
    <col min="8707" max="8707" width="16.6640625" style="43" bestFit="1" customWidth="1"/>
    <col min="8708" max="8960" width="8.88671875" style="43"/>
    <col min="8961" max="8961" width="31.33203125" style="43" bestFit="1" customWidth="1"/>
    <col min="8962" max="8962" width="13.6640625" style="43" bestFit="1" customWidth="1"/>
    <col min="8963" max="8963" width="16.6640625" style="43" bestFit="1" customWidth="1"/>
    <col min="8964" max="9216" width="8.88671875" style="43"/>
    <col min="9217" max="9217" width="31.33203125" style="43" bestFit="1" customWidth="1"/>
    <col min="9218" max="9218" width="13.6640625" style="43" bestFit="1" customWidth="1"/>
    <col min="9219" max="9219" width="16.6640625" style="43" bestFit="1" customWidth="1"/>
    <col min="9220" max="9472" width="8.88671875" style="43"/>
    <col min="9473" max="9473" width="31.33203125" style="43" bestFit="1" customWidth="1"/>
    <col min="9474" max="9474" width="13.6640625" style="43" bestFit="1" customWidth="1"/>
    <col min="9475" max="9475" width="16.6640625" style="43" bestFit="1" customWidth="1"/>
    <col min="9476" max="9728" width="8.88671875" style="43"/>
    <col min="9729" max="9729" width="31.33203125" style="43" bestFit="1" customWidth="1"/>
    <col min="9730" max="9730" width="13.6640625" style="43" bestFit="1" customWidth="1"/>
    <col min="9731" max="9731" width="16.6640625" style="43" bestFit="1" customWidth="1"/>
    <col min="9732" max="9984" width="8.88671875" style="43"/>
    <col min="9985" max="9985" width="31.33203125" style="43" bestFit="1" customWidth="1"/>
    <col min="9986" max="9986" width="13.6640625" style="43" bestFit="1" customWidth="1"/>
    <col min="9987" max="9987" width="16.6640625" style="43" bestFit="1" customWidth="1"/>
    <col min="9988" max="10240" width="8.88671875" style="43"/>
    <col min="10241" max="10241" width="31.33203125" style="43" bestFit="1" customWidth="1"/>
    <col min="10242" max="10242" width="13.6640625" style="43" bestFit="1" customWidth="1"/>
    <col min="10243" max="10243" width="16.6640625" style="43" bestFit="1" customWidth="1"/>
    <col min="10244" max="10496" width="8.88671875" style="43"/>
    <col min="10497" max="10497" width="31.33203125" style="43" bestFit="1" customWidth="1"/>
    <col min="10498" max="10498" width="13.6640625" style="43" bestFit="1" customWidth="1"/>
    <col min="10499" max="10499" width="16.6640625" style="43" bestFit="1" customWidth="1"/>
    <col min="10500" max="10752" width="8.88671875" style="43"/>
    <col min="10753" max="10753" width="31.33203125" style="43" bestFit="1" customWidth="1"/>
    <col min="10754" max="10754" width="13.6640625" style="43" bestFit="1" customWidth="1"/>
    <col min="10755" max="10755" width="16.6640625" style="43" bestFit="1" customWidth="1"/>
    <col min="10756" max="11008" width="8.88671875" style="43"/>
    <col min="11009" max="11009" width="31.33203125" style="43" bestFit="1" customWidth="1"/>
    <col min="11010" max="11010" width="13.6640625" style="43" bestFit="1" customWidth="1"/>
    <col min="11011" max="11011" width="16.6640625" style="43" bestFit="1" customWidth="1"/>
    <col min="11012" max="11264" width="8.88671875" style="43"/>
    <col min="11265" max="11265" width="31.33203125" style="43" bestFit="1" customWidth="1"/>
    <col min="11266" max="11266" width="13.6640625" style="43" bestFit="1" customWidth="1"/>
    <col min="11267" max="11267" width="16.6640625" style="43" bestFit="1" customWidth="1"/>
    <col min="11268" max="11520" width="8.88671875" style="43"/>
    <col min="11521" max="11521" width="31.33203125" style="43" bestFit="1" customWidth="1"/>
    <col min="11522" max="11522" width="13.6640625" style="43" bestFit="1" customWidth="1"/>
    <col min="11523" max="11523" width="16.6640625" style="43" bestFit="1" customWidth="1"/>
    <col min="11524" max="11776" width="8.88671875" style="43"/>
    <col min="11777" max="11777" width="31.33203125" style="43" bestFit="1" customWidth="1"/>
    <col min="11778" max="11778" width="13.6640625" style="43" bestFit="1" customWidth="1"/>
    <col min="11779" max="11779" width="16.6640625" style="43" bestFit="1" customWidth="1"/>
    <col min="11780" max="12032" width="8.88671875" style="43"/>
    <col min="12033" max="12033" width="31.33203125" style="43" bestFit="1" customWidth="1"/>
    <col min="12034" max="12034" width="13.6640625" style="43" bestFit="1" customWidth="1"/>
    <col min="12035" max="12035" width="16.6640625" style="43" bestFit="1" customWidth="1"/>
    <col min="12036" max="12288" width="8.88671875" style="43"/>
    <col min="12289" max="12289" width="31.33203125" style="43" bestFit="1" customWidth="1"/>
    <col min="12290" max="12290" width="13.6640625" style="43" bestFit="1" customWidth="1"/>
    <col min="12291" max="12291" width="16.6640625" style="43" bestFit="1" customWidth="1"/>
    <col min="12292" max="12544" width="8.88671875" style="43"/>
    <col min="12545" max="12545" width="31.33203125" style="43" bestFit="1" customWidth="1"/>
    <col min="12546" max="12546" width="13.6640625" style="43" bestFit="1" customWidth="1"/>
    <col min="12547" max="12547" width="16.6640625" style="43" bestFit="1" customWidth="1"/>
    <col min="12548" max="12800" width="8.88671875" style="43"/>
    <col min="12801" max="12801" width="31.33203125" style="43" bestFit="1" customWidth="1"/>
    <col min="12802" max="12802" width="13.6640625" style="43" bestFit="1" customWidth="1"/>
    <col min="12803" max="12803" width="16.6640625" style="43" bestFit="1" customWidth="1"/>
    <col min="12804" max="13056" width="8.88671875" style="43"/>
    <col min="13057" max="13057" width="31.33203125" style="43" bestFit="1" customWidth="1"/>
    <col min="13058" max="13058" width="13.6640625" style="43" bestFit="1" customWidth="1"/>
    <col min="13059" max="13059" width="16.6640625" style="43" bestFit="1" customWidth="1"/>
    <col min="13060" max="13312" width="8.88671875" style="43"/>
    <col min="13313" max="13313" width="31.33203125" style="43" bestFit="1" customWidth="1"/>
    <col min="13314" max="13314" width="13.6640625" style="43" bestFit="1" customWidth="1"/>
    <col min="13315" max="13315" width="16.6640625" style="43" bestFit="1" customWidth="1"/>
    <col min="13316" max="13568" width="8.88671875" style="43"/>
    <col min="13569" max="13569" width="31.33203125" style="43" bestFit="1" customWidth="1"/>
    <col min="13570" max="13570" width="13.6640625" style="43" bestFit="1" customWidth="1"/>
    <col min="13571" max="13571" width="16.6640625" style="43" bestFit="1" customWidth="1"/>
    <col min="13572" max="13824" width="8.88671875" style="43"/>
    <col min="13825" max="13825" width="31.33203125" style="43" bestFit="1" customWidth="1"/>
    <col min="13826" max="13826" width="13.6640625" style="43" bestFit="1" customWidth="1"/>
    <col min="13827" max="13827" width="16.6640625" style="43" bestFit="1" customWidth="1"/>
    <col min="13828" max="14080" width="8.88671875" style="43"/>
    <col min="14081" max="14081" width="31.33203125" style="43" bestFit="1" customWidth="1"/>
    <col min="14082" max="14082" width="13.6640625" style="43" bestFit="1" customWidth="1"/>
    <col min="14083" max="14083" width="16.6640625" style="43" bestFit="1" customWidth="1"/>
    <col min="14084" max="14336" width="8.88671875" style="43"/>
    <col min="14337" max="14337" width="31.33203125" style="43" bestFit="1" customWidth="1"/>
    <col min="14338" max="14338" width="13.6640625" style="43" bestFit="1" customWidth="1"/>
    <col min="14339" max="14339" width="16.6640625" style="43" bestFit="1" customWidth="1"/>
    <col min="14340" max="14592" width="8.88671875" style="43"/>
    <col min="14593" max="14593" width="31.33203125" style="43" bestFit="1" customWidth="1"/>
    <col min="14594" max="14594" width="13.6640625" style="43" bestFit="1" customWidth="1"/>
    <col min="14595" max="14595" width="16.6640625" style="43" bestFit="1" customWidth="1"/>
    <col min="14596" max="14848" width="8.88671875" style="43"/>
    <col min="14849" max="14849" width="31.33203125" style="43" bestFit="1" customWidth="1"/>
    <col min="14850" max="14850" width="13.6640625" style="43" bestFit="1" customWidth="1"/>
    <col min="14851" max="14851" width="16.6640625" style="43" bestFit="1" customWidth="1"/>
    <col min="14852" max="15104" width="8.88671875" style="43"/>
    <col min="15105" max="15105" width="31.33203125" style="43" bestFit="1" customWidth="1"/>
    <col min="15106" max="15106" width="13.6640625" style="43" bestFit="1" customWidth="1"/>
    <col min="15107" max="15107" width="16.6640625" style="43" bestFit="1" customWidth="1"/>
    <col min="15108" max="15360" width="8.88671875" style="43"/>
    <col min="15361" max="15361" width="31.33203125" style="43" bestFit="1" customWidth="1"/>
    <col min="15362" max="15362" width="13.6640625" style="43" bestFit="1" customWidth="1"/>
    <col min="15363" max="15363" width="16.6640625" style="43" bestFit="1" customWidth="1"/>
    <col min="15364" max="15616" width="8.88671875" style="43"/>
    <col min="15617" max="15617" width="31.33203125" style="43" bestFit="1" customWidth="1"/>
    <col min="15618" max="15618" width="13.6640625" style="43" bestFit="1" customWidth="1"/>
    <col min="15619" max="15619" width="16.6640625" style="43" bestFit="1" customWidth="1"/>
    <col min="15620" max="15872" width="8.88671875" style="43"/>
    <col min="15873" max="15873" width="31.33203125" style="43" bestFit="1" customWidth="1"/>
    <col min="15874" max="15874" width="13.6640625" style="43" bestFit="1" customWidth="1"/>
    <col min="15875" max="15875" width="16.6640625" style="43" bestFit="1" customWidth="1"/>
    <col min="15876" max="16128" width="8.88671875" style="43"/>
    <col min="16129" max="16129" width="31.33203125" style="43" bestFit="1" customWidth="1"/>
    <col min="16130" max="16130" width="13.6640625" style="43" bestFit="1" customWidth="1"/>
    <col min="16131" max="16131" width="16.6640625" style="43" bestFit="1" customWidth="1"/>
    <col min="16132" max="16384" width="8.88671875" style="43"/>
  </cols>
  <sheetData>
    <row r="1" spans="1:3" ht="15.75">
      <c r="A1" s="40" t="s">
        <v>409</v>
      </c>
      <c r="B1" s="41"/>
      <c r="C1" s="42">
        <v>0.06</v>
      </c>
    </row>
    <row r="2" spans="1:3" ht="15.75">
      <c r="A2" s="40" t="s">
        <v>408</v>
      </c>
      <c r="B2" s="41"/>
      <c r="C2" s="44">
        <v>120</v>
      </c>
    </row>
    <row r="3" spans="1:3" ht="15.75">
      <c r="A3" s="40" t="s">
        <v>407</v>
      </c>
      <c r="B3" s="41"/>
      <c r="C3" s="45">
        <v>40000</v>
      </c>
    </row>
    <row r="4" spans="1:3" ht="15.75">
      <c r="A4" s="40"/>
      <c r="C4" s="46"/>
    </row>
    <row r="5" spans="1:3" ht="15.75">
      <c r="A5" s="40" t="s">
        <v>379</v>
      </c>
      <c r="B5" s="47">
        <v>0.06</v>
      </c>
      <c r="C5" s="45">
        <f>PMT(C1/12,C2,-C3)</f>
        <v>444.08200776659777</v>
      </c>
    </row>
    <row r="6" spans="1:3" ht="15">
      <c r="A6" s="44"/>
      <c r="B6" s="47">
        <v>6.5000000000000002E-2</v>
      </c>
      <c r="C6" s="45">
        <f t="dataTable" ref="C6:C13" dt2D="0" dtr="0" r1="C1"/>
        <v>454.19190888010405</v>
      </c>
    </row>
    <row r="7" spans="1:3" ht="15">
      <c r="A7" s="48"/>
      <c r="B7" s="47">
        <v>7.0000000000000007E-2</v>
      </c>
      <c r="C7" s="45">
        <v>464.43391687449622</v>
      </c>
    </row>
    <row r="8" spans="1:3" ht="15">
      <c r="A8" s="47"/>
      <c r="B8" s="47">
        <v>7.4999999999999997E-2</v>
      </c>
      <c r="C8" s="45">
        <v>474.80707654341694</v>
      </c>
    </row>
    <row r="9" spans="1:3" ht="15">
      <c r="A9" s="47"/>
      <c r="B9" s="47">
        <v>0.08</v>
      </c>
      <c r="C9" s="45">
        <v>485.31037742142775</v>
      </c>
    </row>
    <row r="10" spans="1:3" ht="15">
      <c r="A10" s="47"/>
      <c r="B10" s="47">
        <v>8.5000000000000006E-2</v>
      </c>
      <c r="C10" s="45">
        <v>495.94275549804451</v>
      </c>
    </row>
    <row r="11" spans="1:3" ht="15">
      <c r="A11" s="47"/>
      <c r="B11" s="47">
        <v>0.09</v>
      </c>
      <c r="C11" s="45">
        <v>506.70309500099785</v>
      </c>
    </row>
    <row r="12" spans="1:3" ht="15">
      <c r="A12" s="47"/>
      <c r="B12" s="47">
        <v>9.5000000000000001E-2</v>
      </c>
      <c r="C12" s="45">
        <v>517.59023024310807</v>
      </c>
    </row>
    <row r="13" spans="1:3" ht="15">
      <c r="A13" s="47"/>
      <c r="B13" s="47">
        <v>0.1</v>
      </c>
      <c r="C13" s="45">
        <v>528.60294752704658</v>
      </c>
    </row>
    <row r="14" spans="1:3" ht="15">
      <c r="A14" s="44"/>
      <c r="B14" s="44"/>
      <c r="C14" s="44"/>
    </row>
  </sheetData>
  <customSheetViews>
    <customSheetView guid="{BBE43EB8-AC5B-419E-90E4-72D0C525AF66}">
      <pageMargins left="0.75" right="0.75" top="1" bottom="1" header="0.5" footer="0.5"/>
      <headerFooter alignWithMargins="0"/>
    </customSheetView>
  </customSheetViews>
  <pageMargins left="0.75" right="0.75" top="1" bottom="1" header="0.5" footer="0.5"/>
  <pageSetup orientation="portrait"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1:G15"/>
  <sheetViews>
    <sheetView zoomScale="85" zoomScaleNormal="85" workbookViewId="0">
      <selection activeCell="B4" sqref="B4"/>
    </sheetView>
  </sheetViews>
  <sheetFormatPr defaultRowHeight="12.75"/>
  <cols>
    <col min="1" max="1" width="28.33203125" style="14" customWidth="1"/>
    <col min="2" max="2" width="14.6640625" style="14" bestFit="1" customWidth="1"/>
    <col min="3" max="3" width="18.5546875" style="14" bestFit="1" customWidth="1"/>
    <col min="4" max="4" width="12.77734375" style="14" customWidth="1"/>
    <col min="5" max="5" width="13.77734375" style="14" customWidth="1"/>
    <col min="6" max="6" width="13.5546875" style="14" customWidth="1"/>
    <col min="7" max="7" width="15" style="14" customWidth="1"/>
    <col min="8" max="256" width="8.88671875" style="14"/>
    <col min="257" max="257" width="34" style="14" bestFit="1" customWidth="1"/>
    <col min="258" max="258" width="14.6640625" style="14" bestFit="1" customWidth="1"/>
    <col min="259" max="259" width="17.6640625" style="14" bestFit="1" customWidth="1"/>
    <col min="260" max="260" width="12.77734375" style="14" customWidth="1"/>
    <col min="261" max="261" width="10.44140625" style="14" customWidth="1"/>
    <col min="262" max="262" width="9.21875" style="14" customWidth="1"/>
    <col min="263" max="263" width="9.109375" style="14" customWidth="1"/>
    <col min="264" max="512" width="8.88671875" style="14"/>
    <col min="513" max="513" width="34" style="14" bestFit="1" customWidth="1"/>
    <col min="514" max="514" width="14.6640625" style="14" bestFit="1" customWidth="1"/>
    <col min="515" max="515" width="17.6640625" style="14" bestFit="1" customWidth="1"/>
    <col min="516" max="516" width="12.77734375" style="14" customWidth="1"/>
    <col min="517" max="517" width="10.44140625" style="14" customWidth="1"/>
    <col min="518" max="518" width="9.21875" style="14" customWidth="1"/>
    <col min="519" max="519" width="9.109375" style="14" customWidth="1"/>
    <col min="520" max="768" width="8.88671875" style="14"/>
    <col min="769" max="769" width="34" style="14" bestFit="1" customWidth="1"/>
    <col min="770" max="770" width="14.6640625" style="14" bestFit="1" customWidth="1"/>
    <col min="771" max="771" width="17.6640625" style="14" bestFit="1" customWidth="1"/>
    <col min="772" max="772" width="12.77734375" style="14" customWidth="1"/>
    <col min="773" max="773" width="10.44140625" style="14" customWidth="1"/>
    <col min="774" max="774" width="9.21875" style="14" customWidth="1"/>
    <col min="775" max="775" width="9.109375" style="14" customWidth="1"/>
    <col min="776" max="1024" width="8.88671875" style="14"/>
    <col min="1025" max="1025" width="34" style="14" bestFit="1" customWidth="1"/>
    <col min="1026" max="1026" width="14.6640625" style="14" bestFit="1" customWidth="1"/>
    <col min="1027" max="1027" width="17.6640625" style="14" bestFit="1" customWidth="1"/>
    <col min="1028" max="1028" width="12.77734375" style="14" customWidth="1"/>
    <col min="1029" max="1029" width="10.44140625" style="14" customWidth="1"/>
    <col min="1030" max="1030" width="9.21875" style="14" customWidth="1"/>
    <col min="1031" max="1031" width="9.109375" style="14" customWidth="1"/>
    <col min="1032" max="1280" width="8.88671875" style="14"/>
    <col min="1281" max="1281" width="34" style="14" bestFit="1" customWidth="1"/>
    <col min="1282" max="1282" width="14.6640625" style="14" bestFit="1" customWidth="1"/>
    <col min="1283" max="1283" width="17.6640625" style="14" bestFit="1" customWidth="1"/>
    <col min="1284" max="1284" width="12.77734375" style="14" customWidth="1"/>
    <col min="1285" max="1285" width="10.44140625" style="14" customWidth="1"/>
    <col min="1286" max="1286" width="9.21875" style="14" customWidth="1"/>
    <col min="1287" max="1287" width="9.109375" style="14" customWidth="1"/>
    <col min="1288" max="1536" width="8.88671875" style="14"/>
    <col min="1537" max="1537" width="34" style="14" bestFit="1" customWidth="1"/>
    <col min="1538" max="1538" width="14.6640625" style="14" bestFit="1" customWidth="1"/>
    <col min="1539" max="1539" width="17.6640625" style="14" bestFit="1" customWidth="1"/>
    <col min="1540" max="1540" width="12.77734375" style="14" customWidth="1"/>
    <col min="1541" max="1541" width="10.44140625" style="14" customWidth="1"/>
    <col min="1542" max="1542" width="9.21875" style="14" customWidth="1"/>
    <col min="1543" max="1543" width="9.109375" style="14" customWidth="1"/>
    <col min="1544" max="1792" width="8.88671875" style="14"/>
    <col min="1793" max="1793" width="34" style="14" bestFit="1" customWidth="1"/>
    <col min="1794" max="1794" width="14.6640625" style="14" bestFit="1" customWidth="1"/>
    <col min="1795" max="1795" width="17.6640625" style="14" bestFit="1" customWidth="1"/>
    <col min="1796" max="1796" width="12.77734375" style="14" customWidth="1"/>
    <col min="1797" max="1797" width="10.44140625" style="14" customWidth="1"/>
    <col min="1798" max="1798" width="9.21875" style="14" customWidth="1"/>
    <col min="1799" max="1799" width="9.109375" style="14" customWidth="1"/>
    <col min="1800" max="2048" width="8.88671875" style="14"/>
    <col min="2049" max="2049" width="34" style="14" bestFit="1" customWidth="1"/>
    <col min="2050" max="2050" width="14.6640625" style="14" bestFit="1" customWidth="1"/>
    <col min="2051" max="2051" width="17.6640625" style="14" bestFit="1" customWidth="1"/>
    <col min="2052" max="2052" width="12.77734375" style="14" customWidth="1"/>
    <col min="2053" max="2053" width="10.44140625" style="14" customWidth="1"/>
    <col min="2054" max="2054" width="9.21875" style="14" customWidth="1"/>
    <col min="2055" max="2055" width="9.109375" style="14" customWidth="1"/>
    <col min="2056" max="2304" width="8.88671875" style="14"/>
    <col min="2305" max="2305" width="34" style="14" bestFit="1" customWidth="1"/>
    <col min="2306" max="2306" width="14.6640625" style="14" bestFit="1" customWidth="1"/>
    <col min="2307" max="2307" width="17.6640625" style="14" bestFit="1" customWidth="1"/>
    <col min="2308" max="2308" width="12.77734375" style="14" customWidth="1"/>
    <col min="2309" max="2309" width="10.44140625" style="14" customWidth="1"/>
    <col min="2310" max="2310" width="9.21875" style="14" customWidth="1"/>
    <col min="2311" max="2311" width="9.109375" style="14" customWidth="1"/>
    <col min="2312" max="2560" width="8.88671875" style="14"/>
    <col min="2561" max="2561" width="34" style="14" bestFit="1" customWidth="1"/>
    <col min="2562" max="2562" width="14.6640625" style="14" bestFit="1" customWidth="1"/>
    <col min="2563" max="2563" width="17.6640625" style="14" bestFit="1" customWidth="1"/>
    <col min="2564" max="2564" width="12.77734375" style="14" customWidth="1"/>
    <col min="2565" max="2565" width="10.44140625" style="14" customWidth="1"/>
    <col min="2566" max="2566" width="9.21875" style="14" customWidth="1"/>
    <col min="2567" max="2567" width="9.109375" style="14" customWidth="1"/>
    <col min="2568" max="2816" width="8.88671875" style="14"/>
    <col min="2817" max="2817" width="34" style="14" bestFit="1" customWidth="1"/>
    <col min="2818" max="2818" width="14.6640625" style="14" bestFit="1" customWidth="1"/>
    <col min="2819" max="2819" width="17.6640625" style="14" bestFit="1" customWidth="1"/>
    <col min="2820" max="2820" width="12.77734375" style="14" customWidth="1"/>
    <col min="2821" max="2821" width="10.44140625" style="14" customWidth="1"/>
    <col min="2822" max="2822" width="9.21875" style="14" customWidth="1"/>
    <col min="2823" max="2823" width="9.109375" style="14" customWidth="1"/>
    <col min="2824" max="3072" width="8.88671875" style="14"/>
    <col min="3073" max="3073" width="34" style="14" bestFit="1" customWidth="1"/>
    <col min="3074" max="3074" width="14.6640625" style="14" bestFit="1" customWidth="1"/>
    <col min="3075" max="3075" width="17.6640625" style="14" bestFit="1" customWidth="1"/>
    <col min="3076" max="3076" width="12.77734375" style="14" customWidth="1"/>
    <col min="3077" max="3077" width="10.44140625" style="14" customWidth="1"/>
    <col min="3078" max="3078" width="9.21875" style="14" customWidth="1"/>
    <col min="3079" max="3079" width="9.109375" style="14" customWidth="1"/>
    <col min="3080" max="3328" width="8.88671875" style="14"/>
    <col min="3329" max="3329" width="34" style="14" bestFit="1" customWidth="1"/>
    <col min="3330" max="3330" width="14.6640625" style="14" bestFit="1" customWidth="1"/>
    <col min="3331" max="3331" width="17.6640625" style="14" bestFit="1" customWidth="1"/>
    <col min="3332" max="3332" width="12.77734375" style="14" customWidth="1"/>
    <col min="3333" max="3333" width="10.44140625" style="14" customWidth="1"/>
    <col min="3334" max="3334" width="9.21875" style="14" customWidth="1"/>
    <col min="3335" max="3335" width="9.109375" style="14" customWidth="1"/>
    <col min="3336" max="3584" width="8.88671875" style="14"/>
    <col min="3585" max="3585" width="34" style="14" bestFit="1" customWidth="1"/>
    <col min="3586" max="3586" width="14.6640625" style="14" bestFit="1" customWidth="1"/>
    <col min="3587" max="3587" width="17.6640625" style="14" bestFit="1" customWidth="1"/>
    <col min="3588" max="3588" width="12.77734375" style="14" customWidth="1"/>
    <col min="3589" max="3589" width="10.44140625" style="14" customWidth="1"/>
    <col min="3590" max="3590" width="9.21875" style="14" customWidth="1"/>
    <col min="3591" max="3591" width="9.109375" style="14" customWidth="1"/>
    <col min="3592" max="3840" width="8.88671875" style="14"/>
    <col min="3841" max="3841" width="34" style="14" bestFit="1" customWidth="1"/>
    <col min="3842" max="3842" width="14.6640625" style="14" bestFit="1" customWidth="1"/>
    <col min="3843" max="3843" width="17.6640625" style="14" bestFit="1" customWidth="1"/>
    <col min="3844" max="3844" width="12.77734375" style="14" customWidth="1"/>
    <col min="3845" max="3845" width="10.44140625" style="14" customWidth="1"/>
    <col min="3846" max="3846" width="9.21875" style="14" customWidth="1"/>
    <col min="3847" max="3847" width="9.109375" style="14" customWidth="1"/>
    <col min="3848" max="4096" width="8.88671875" style="14"/>
    <col min="4097" max="4097" width="34" style="14" bestFit="1" customWidth="1"/>
    <col min="4098" max="4098" width="14.6640625" style="14" bestFit="1" customWidth="1"/>
    <col min="4099" max="4099" width="17.6640625" style="14" bestFit="1" customWidth="1"/>
    <col min="4100" max="4100" width="12.77734375" style="14" customWidth="1"/>
    <col min="4101" max="4101" width="10.44140625" style="14" customWidth="1"/>
    <col min="4102" max="4102" width="9.21875" style="14" customWidth="1"/>
    <col min="4103" max="4103" width="9.109375" style="14" customWidth="1"/>
    <col min="4104" max="4352" width="8.88671875" style="14"/>
    <col min="4353" max="4353" width="34" style="14" bestFit="1" customWidth="1"/>
    <col min="4354" max="4354" width="14.6640625" style="14" bestFit="1" customWidth="1"/>
    <col min="4355" max="4355" width="17.6640625" style="14" bestFit="1" customWidth="1"/>
    <col min="4356" max="4356" width="12.77734375" style="14" customWidth="1"/>
    <col min="4357" max="4357" width="10.44140625" style="14" customWidth="1"/>
    <col min="4358" max="4358" width="9.21875" style="14" customWidth="1"/>
    <col min="4359" max="4359" width="9.109375" style="14" customWidth="1"/>
    <col min="4360" max="4608" width="8.88671875" style="14"/>
    <col min="4609" max="4609" width="34" style="14" bestFit="1" customWidth="1"/>
    <col min="4610" max="4610" width="14.6640625" style="14" bestFit="1" customWidth="1"/>
    <col min="4611" max="4611" width="17.6640625" style="14" bestFit="1" customWidth="1"/>
    <col min="4612" max="4612" width="12.77734375" style="14" customWidth="1"/>
    <col min="4613" max="4613" width="10.44140625" style="14" customWidth="1"/>
    <col min="4614" max="4614" width="9.21875" style="14" customWidth="1"/>
    <col min="4615" max="4615" width="9.109375" style="14" customWidth="1"/>
    <col min="4616" max="4864" width="8.88671875" style="14"/>
    <col min="4865" max="4865" width="34" style="14" bestFit="1" customWidth="1"/>
    <col min="4866" max="4866" width="14.6640625" style="14" bestFit="1" customWidth="1"/>
    <col min="4867" max="4867" width="17.6640625" style="14" bestFit="1" customWidth="1"/>
    <col min="4868" max="4868" width="12.77734375" style="14" customWidth="1"/>
    <col min="4869" max="4869" width="10.44140625" style="14" customWidth="1"/>
    <col min="4870" max="4870" width="9.21875" style="14" customWidth="1"/>
    <col min="4871" max="4871" width="9.109375" style="14" customWidth="1"/>
    <col min="4872" max="5120" width="8.88671875" style="14"/>
    <col min="5121" max="5121" width="34" style="14" bestFit="1" customWidth="1"/>
    <col min="5122" max="5122" width="14.6640625" style="14" bestFit="1" customWidth="1"/>
    <col min="5123" max="5123" width="17.6640625" style="14" bestFit="1" customWidth="1"/>
    <col min="5124" max="5124" width="12.77734375" style="14" customWidth="1"/>
    <col min="5125" max="5125" width="10.44140625" style="14" customWidth="1"/>
    <col min="5126" max="5126" width="9.21875" style="14" customWidth="1"/>
    <col min="5127" max="5127" width="9.109375" style="14" customWidth="1"/>
    <col min="5128" max="5376" width="8.88671875" style="14"/>
    <col min="5377" max="5377" width="34" style="14" bestFit="1" customWidth="1"/>
    <col min="5378" max="5378" width="14.6640625" style="14" bestFit="1" customWidth="1"/>
    <col min="5379" max="5379" width="17.6640625" style="14" bestFit="1" customWidth="1"/>
    <col min="5380" max="5380" width="12.77734375" style="14" customWidth="1"/>
    <col min="5381" max="5381" width="10.44140625" style="14" customWidth="1"/>
    <col min="5382" max="5382" width="9.21875" style="14" customWidth="1"/>
    <col min="5383" max="5383" width="9.109375" style="14" customWidth="1"/>
    <col min="5384" max="5632" width="8.88671875" style="14"/>
    <col min="5633" max="5633" width="34" style="14" bestFit="1" customWidth="1"/>
    <col min="5634" max="5634" width="14.6640625" style="14" bestFit="1" customWidth="1"/>
    <col min="5635" max="5635" width="17.6640625" style="14" bestFit="1" customWidth="1"/>
    <col min="5636" max="5636" width="12.77734375" style="14" customWidth="1"/>
    <col min="5637" max="5637" width="10.44140625" style="14" customWidth="1"/>
    <col min="5638" max="5638" width="9.21875" style="14" customWidth="1"/>
    <col min="5639" max="5639" width="9.109375" style="14" customWidth="1"/>
    <col min="5640" max="5888" width="8.88671875" style="14"/>
    <col min="5889" max="5889" width="34" style="14" bestFit="1" customWidth="1"/>
    <col min="5890" max="5890" width="14.6640625" style="14" bestFit="1" customWidth="1"/>
    <col min="5891" max="5891" width="17.6640625" style="14" bestFit="1" customWidth="1"/>
    <col min="5892" max="5892" width="12.77734375" style="14" customWidth="1"/>
    <col min="5893" max="5893" width="10.44140625" style="14" customWidth="1"/>
    <col min="5894" max="5894" width="9.21875" style="14" customWidth="1"/>
    <col min="5895" max="5895" width="9.109375" style="14" customWidth="1"/>
    <col min="5896" max="6144" width="8.88671875" style="14"/>
    <col min="6145" max="6145" width="34" style="14" bestFit="1" customWidth="1"/>
    <col min="6146" max="6146" width="14.6640625" style="14" bestFit="1" customWidth="1"/>
    <col min="6147" max="6147" width="17.6640625" style="14" bestFit="1" customWidth="1"/>
    <col min="6148" max="6148" width="12.77734375" style="14" customWidth="1"/>
    <col min="6149" max="6149" width="10.44140625" style="14" customWidth="1"/>
    <col min="6150" max="6150" width="9.21875" style="14" customWidth="1"/>
    <col min="6151" max="6151" width="9.109375" style="14" customWidth="1"/>
    <col min="6152" max="6400" width="8.88671875" style="14"/>
    <col min="6401" max="6401" width="34" style="14" bestFit="1" customWidth="1"/>
    <col min="6402" max="6402" width="14.6640625" style="14" bestFit="1" customWidth="1"/>
    <col min="6403" max="6403" width="17.6640625" style="14" bestFit="1" customWidth="1"/>
    <col min="6404" max="6404" width="12.77734375" style="14" customWidth="1"/>
    <col min="6405" max="6405" width="10.44140625" style="14" customWidth="1"/>
    <col min="6406" max="6406" width="9.21875" style="14" customWidth="1"/>
    <col min="6407" max="6407" width="9.109375" style="14" customWidth="1"/>
    <col min="6408" max="6656" width="8.88671875" style="14"/>
    <col min="6657" max="6657" width="34" style="14" bestFit="1" customWidth="1"/>
    <col min="6658" max="6658" width="14.6640625" style="14" bestFit="1" customWidth="1"/>
    <col min="6659" max="6659" width="17.6640625" style="14" bestFit="1" customWidth="1"/>
    <col min="6660" max="6660" width="12.77734375" style="14" customWidth="1"/>
    <col min="6661" max="6661" width="10.44140625" style="14" customWidth="1"/>
    <col min="6662" max="6662" width="9.21875" style="14" customWidth="1"/>
    <col min="6663" max="6663" width="9.109375" style="14" customWidth="1"/>
    <col min="6664" max="6912" width="8.88671875" style="14"/>
    <col min="6913" max="6913" width="34" style="14" bestFit="1" customWidth="1"/>
    <col min="6914" max="6914" width="14.6640625" style="14" bestFit="1" customWidth="1"/>
    <col min="6915" max="6915" width="17.6640625" style="14" bestFit="1" customWidth="1"/>
    <col min="6916" max="6916" width="12.77734375" style="14" customWidth="1"/>
    <col min="6917" max="6917" width="10.44140625" style="14" customWidth="1"/>
    <col min="6918" max="6918" width="9.21875" style="14" customWidth="1"/>
    <col min="6919" max="6919" width="9.109375" style="14" customWidth="1"/>
    <col min="6920" max="7168" width="8.88671875" style="14"/>
    <col min="7169" max="7169" width="34" style="14" bestFit="1" customWidth="1"/>
    <col min="7170" max="7170" width="14.6640625" style="14" bestFit="1" customWidth="1"/>
    <col min="7171" max="7171" width="17.6640625" style="14" bestFit="1" customWidth="1"/>
    <col min="7172" max="7172" width="12.77734375" style="14" customWidth="1"/>
    <col min="7173" max="7173" width="10.44140625" style="14" customWidth="1"/>
    <col min="7174" max="7174" width="9.21875" style="14" customWidth="1"/>
    <col min="7175" max="7175" width="9.109375" style="14" customWidth="1"/>
    <col min="7176" max="7424" width="8.88671875" style="14"/>
    <col min="7425" max="7425" width="34" style="14" bestFit="1" customWidth="1"/>
    <col min="7426" max="7426" width="14.6640625" style="14" bestFit="1" customWidth="1"/>
    <col min="7427" max="7427" width="17.6640625" style="14" bestFit="1" customWidth="1"/>
    <col min="7428" max="7428" width="12.77734375" style="14" customWidth="1"/>
    <col min="7429" max="7429" width="10.44140625" style="14" customWidth="1"/>
    <col min="7430" max="7430" width="9.21875" style="14" customWidth="1"/>
    <col min="7431" max="7431" width="9.109375" style="14" customWidth="1"/>
    <col min="7432" max="7680" width="8.88671875" style="14"/>
    <col min="7681" max="7681" width="34" style="14" bestFit="1" customWidth="1"/>
    <col min="7682" max="7682" width="14.6640625" style="14" bestFit="1" customWidth="1"/>
    <col min="7683" max="7683" width="17.6640625" style="14" bestFit="1" customWidth="1"/>
    <col min="7684" max="7684" width="12.77734375" style="14" customWidth="1"/>
    <col min="7685" max="7685" width="10.44140625" style="14" customWidth="1"/>
    <col min="7686" max="7686" width="9.21875" style="14" customWidth="1"/>
    <col min="7687" max="7687" width="9.109375" style="14" customWidth="1"/>
    <col min="7688" max="7936" width="8.88671875" style="14"/>
    <col min="7937" max="7937" width="34" style="14" bestFit="1" customWidth="1"/>
    <col min="7938" max="7938" width="14.6640625" style="14" bestFit="1" customWidth="1"/>
    <col min="7939" max="7939" width="17.6640625" style="14" bestFit="1" customWidth="1"/>
    <col min="7940" max="7940" width="12.77734375" style="14" customWidth="1"/>
    <col min="7941" max="7941" width="10.44140625" style="14" customWidth="1"/>
    <col min="7942" max="7942" width="9.21875" style="14" customWidth="1"/>
    <col min="7943" max="7943" width="9.109375" style="14" customWidth="1"/>
    <col min="7944" max="8192" width="8.88671875" style="14"/>
    <col min="8193" max="8193" width="34" style="14" bestFit="1" customWidth="1"/>
    <col min="8194" max="8194" width="14.6640625" style="14" bestFit="1" customWidth="1"/>
    <col min="8195" max="8195" width="17.6640625" style="14" bestFit="1" customWidth="1"/>
    <col min="8196" max="8196" width="12.77734375" style="14" customWidth="1"/>
    <col min="8197" max="8197" width="10.44140625" style="14" customWidth="1"/>
    <col min="8198" max="8198" width="9.21875" style="14" customWidth="1"/>
    <col min="8199" max="8199" width="9.109375" style="14" customWidth="1"/>
    <col min="8200" max="8448" width="8.88671875" style="14"/>
    <col min="8449" max="8449" width="34" style="14" bestFit="1" customWidth="1"/>
    <col min="8450" max="8450" width="14.6640625" style="14" bestFit="1" customWidth="1"/>
    <col min="8451" max="8451" width="17.6640625" style="14" bestFit="1" customWidth="1"/>
    <col min="8452" max="8452" width="12.77734375" style="14" customWidth="1"/>
    <col min="8453" max="8453" width="10.44140625" style="14" customWidth="1"/>
    <col min="8454" max="8454" width="9.21875" style="14" customWidth="1"/>
    <col min="8455" max="8455" width="9.109375" style="14" customWidth="1"/>
    <col min="8456" max="8704" width="8.88671875" style="14"/>
    <col min="8705" max="8705" width="34" style="14" bestFit="1" customWidth="1"/>
    <col min="8706" max="8706" width="14.6640625" style="14" bestFit="1" customWidth="1"/>
    <col min="8707" max="8707" width="17.6640625" style="14" bestFit="1" customWidth="1"/>
    <col min="8708" max="8708" width="12.77734375" style="14" customWidth="1"/>
    <col min="8709" max="8709" width="10.44140625" style="14" customWidth="1"/>
    <col min="8710" max="8710" width="9.21875" style="14" customWidth="1"/>
    <col min="8711" max="8711" width="9.109375" style="14" customWidth="1"/>
    <col min="8712" max="8960" width="8.88671875" style="14"/>
    <col min="8961" max="8961" width="34" style="14" bestFit="1" customWidth="1"/>
    <col min="8962" max="8962" width="14.6640625" style="14" bestFit="1" customWidth="1"/>
    <col min="8963" max="8963" width="17.6640625" style="14" bestFit="1" customWidth="1"/>
    <col min="8964" max="8964" width="12.77734375" style="14" customWidth="1"/>
    <col min="8965" max="8965" width="10.44140625" style="14" customWidth="1"/>
    <col min="8966" max="8966" width="9.21875" style="14" customWidth="1"/>
    <col min="8967" max="8967" width="9.109375" style="14" customWidth="1"/>
    <col min="8968" max="9216" width="8.88671875" style="14"/>
    <col min="9217" max="9217" width="34" style="14" bestFit="1" customWidth="1"/>
    <col min="9218" max="9218" width="14.6640625" style="14" bestFit="1" customWidth="1"/>
    <col min="9219" max="9219" width="17.6640625" style="14" bestFit="1" customWidth="1"/>
    <col min="9220" max="9220" width="12.77734375" style="14" customWidth="1"/>
    <col min="9221" max="9221" width="10.44140625" style="14" customWidth="1"/>
    <col min="9222" max="9222" width="9.21875" style="14" customWidth="1"/>
    <col min="9223" max="9223" width="9.109375" style="14" customWidth="1"/>
    <col min="9224" max="9472" width="8.88671875" style="14"/>
    <col min="9473" max="9473" width="34" style="14" bestFit="1" customWidth="1"/>
    <col min="9474" max="9474" width="14.6640625" style="14" bestFit="1" customWidth="1"/>
    <col min="9475" max="9475" width="17.6640625" style="14" bestFit="1" customWidth="1"/>
    <col min="9476" max="9476" width="12.77734375" style="14" customWidth="1"/>
    <col min="9477" max="9477" width="10.44140625" style="14" customWidth="1"/>
    <col min="9478" max="9478" width="9.21875" style="14" customWidth="1"/>
    <col min="9479" max="9479" width="9.109375" style="14" customWidth="1"/>
    <col min="9480" max="9728" width="8.88671875" style="14"/>
    <col min="9729" max="9729" width="34" style="14" bestFit="1" customWidth="1"/>
    <col min="9730" max="9730" width="14.6640625" style="14" bestFit="1" customWidth="1"/>
    <col min="9731" max="9731" width="17.6640625" style="14" bestFit="1" customWidth="1"/>
    <col min="9732" max="9732" width="12.77734375" style="14" customWidth="1"/>
    <col min="9733" max="9733" width="10.44140625" style="14" customWidth="1"/>
    <col min="9734" max="9734" width="9.21875" style="14" customWidth="1"/>
    <col min="9735" max="9735" width="9.109375" style="14" customWidth="1"/>
    <col min="9736" max="9984" width="8.88671875" style="14"/>
    <col min="9985" max="9985" width="34" style="14" bestFit="1" customWidth="1"/>
    <col min="9986" max="9986" width="14.6640625" style="14" bestFit="1" customWidth="1"/>
    <col min="9987" max="9987" width="17.6640625" style="14" bestFit="1" customWidth="1"/>
    <col min="9988" max="9988" width="12.77734375" style="14" customWidth="1"/>
    <col min="9989" max="9989" width="10.44140625" style="14" customWidth="1"/>
    <col min="9990" max="9990" width="9.21875" style="14" customWidth="1"/>
    <col min="9991" max="9991" width="9.109375" style="14" customWidth="1"/>
    <col min="9992" max="10240" width="8.88671875" style="14"/>
    <col min="10241" max="10241" width="34" style="14" bestFit="1" customWidth="1"/>
    <col min="10242" max="10242" width="14.6640625" style="14" bestFit="1" customWidth="1"/>
    <col min="10243" max="10243" width="17.6640625" style="14" bestFit="1" customWidth="1"/>
    <col min="10244" max="10244" width="12.77734375" style="14" customWidth="1"/>
    <col min="10245" max="10245" width="10.44140625" style="14" customWidth="1"/>
    <col min="10246" max="10246" width="9.21875" style="14" customWidth="1"/>
    <col min="10247" max="10247" width="9.109375" style="14" customWidth="1"/>
    <col min="10248" max="10496" width="8.88671875" style="14"/>
    <col min="10497" max="10497" width="34" style="14" bestFit="1" customWidth="1"/>
    <col min="10498" max="10498" width="14.6640625" style="14" bestFit="1" customWidth="1"/>
    <col min="10499" max="10499" width="17.6640625" style="14" bestFit="1" customWidth="1"/>
    <col min="10500" max="10500" width="12.77734375" style="14" customWidth="1"/>
    <col min="10501" max="10501" width="10.44140625" style="14" customWidth="1"/>
    <col min="10502" max="10502" width="9.21875" style="14" customWidth="1"/>
    <col min="10503" max="10503" width="9.109375" style="14" customWidth="1"/>
    <col min="10504" max="10752" width="8.88671875" style="14"/>
    <col min="10753" max="10753" width="34" style="14" bestFit="1" customWidth="1"/>
    <col min="10754" max="10754" width="14.6640625" style="14" bestFit="1" customWidth="1"/>
    <col min="10755" max="10755" width="17.6640625" style="14" bestFit="1" customWidth="1"/>
    <col min="10756" max="10756" width="12.77734375" style="14" customWidth="1"/>
    <col min="10757" max="10757" width="10.44140625" style="14" customWidth="1"/>
    <col min="10758" max="10758" width="9.21875" style="14" customWidth="1"/>
    <col min="10759" max="10759" width="9.109375" style="14" customWidth="1"/>
    <col min="10760" max="11008" width="8.88671875" style="14"/>
    <col min="11009" max="11009" width="34" style="14" bestFit="1" customWidth="1"/>
    <col min="11010" max="11010" width="14.6640625" style="14" bestFit="1" customWidth="1"/>
    <col min="11011" max="11011" width="17.6640625" style="14" bestFit="1" customWidth="1"/>
    <col min="11012" max="11012" width="12.77734375" style="14" customWidth="1"/>
    <col min="11013" max="11013" width="10.44140625" style="14" customWidth="1"/>
    <col min="11014" max="11014" width="9.21875" style="14" customWidth="1"/>
    <col min="11015" max="11015" width="9.109375" style="14" customWidth="1"/>
    <col min="11016" max="11264" width="8.88671875" style="14"/>
    <col min="11265" max="11265" width="34" style="14" bestFit="1" customWidth="1"/>
    <col min="11266" max="11266" width="14.6640625" style="14" bestFit="1" customWidth="1"/>
    <col min="11267" max="11267" width="17.6640625" style="14" bestFit="1" customWidth="1"/>
    <col min="11268" max="11268" width="12.77734375" style="14" customWidth="1"/>
    <col min="11269" max="11269" width="10.44140625" style="14" customWidth="1"/>
    <col min="11270" max="11270" width="9.21875" style="14" customWidth="1"/>
    <col min="11271" max="11271" width="9.109375" style="14" customWidth="1"/>
    <col min="11272" max="11520" width="8.88671875" style="14"/>
    <col min="11521" max="11521" width="34" style="14" bestFit="1" customWidth="1"/>
    <col min="11522" max="11522" width="14.6640625" style="14" bestFit="1" customWidth="1"/>
    <col min="11523" max="11523" width="17.6640625" style="14" bestFit="1" customWidth="1"/>
    <col min="11524" max="11524" width="12.77734375" style="14" customWidth="1"/>
    <col min="11525" max="11525" width="10.44140625" style="14" customWidth="1"/>
    <col min="11526" max="11526" width="9.21875" style="14" customWidth="1"/>
    <col min="11527" max="11527" width="9.109375" style="14" customWidth="1"/>
    <col min="11528" max="11776" width="8.88671875" style="14"/>
    <col min="11777" max="11777" width="34" style="14" bestFit="1" customWidth="1"/>
    <col min="11778" max="11778" width="14.6640625" style="14" bestFit="1" customWidth="1"/>
    <col min="11779" max="11779" width="17.6640625" style="14" bestFit="1" customWidth="1"/>
    <col min="11780" max="11780" width="12.77734375" style="14" customWidth="1"/>
    <col min="11781" max="11781" width="10.44140625" style="14" customWidth="1"/>
    <col min="11782" max="11782" width="9.21875" style="14" customWidth="1"/>
    <col min="11783" max="11783" width="9.109375" style="14" customWidth="1"/>
    <col min="11784" max="12032" width="8.88671875" style="14"/>
    <col min="12033" max="12033" width="34" style="14" bestFit="1" customWidth="1"/>
    <col min="12034" max="12034" width="14.6640625" style="14" bestFit="1" customWidth="1"/>
    <col min="12035" max="12035" width="17.6640625" style="14" bestFit="1" customWidth="1"/>
    <col min="12036" max="12036" width="12.77734375" style="14" customWidth="1"/>
    <col min="12037" max="12037" width="10.44140625" style="14" customWidth="1"/>
    <col min="12038" max="12038" width="9.21875" style="14" customWidth="1"/>
    <col min="12039" max="12039" width="9.109375" style="14" customWidth="1"/>
    <col min="12040" max="12288" width="8.88671875" style="14"/>
    <col min="12289" max="12289" width="34" style="14" bestFit="1" customWidth="1"/>
    <col min="12290" max="12290" width="14.6640625" style="14" bestFit="1" customWidth="1"/>
    <col min="12291" max="12291" width="17.6640625" style="14" bestFit="1" customWidth="1"/>
    <col min="12292" max="12292" width="12.77734375" style="14" customWidth="1"/>
    <col min="12293" max="12293" width="10.44140625" style="14" customWidth="1"/>
    <col min="12294" max="12294" width="9.21875" style="14" customWidth="1"/>
    <col min="12295" max="12295" width="9.109375" style="14" customWidth="1"/>
    <col min="12296" max="12544" width="8.88671875" style="14"/>
    <col min="12545" max="12545" width="34" style="14" bestFit="1" customWidth="1"/>
    <col min="12546" max="12546" width="14.6640625" style="14" bestFit="1" customWidth="1"/>
    <col min="12547" max="12547" width="17.6640625" style="14" bestFit="1" customWidth="1"/>
    <col min="12548" max="12548" width="12.77734375" style="14" customWidth="1"/>
    <col min="12549" max="12549" width="10.44140625" style="14" customWidth="1"/>
    <col min="12550" max="12550" width="9.21875" style="14" customWidth="1"/>
    <col min="12551" max="12551" width="9.109375" style="14" customWidth="1"/>
    <col min="12552" max="12800" width="8.88671875" style="14"/>
    <col min="12801" max="12801" width="34" style="14" bestFit="1" customWidth="1"/>
    <col min="12802" max="12802" width="14.6640625" style="14" bestFit="1" customWidth="1"/>
    <col min="12803" max="12803" width="17.6640625" style="14" bestFit="1" customWidth="1"/>
    <col min="12804" max="12804" width="12.77734375" style="14" customWidth="1"/>
    <col min="12805" max="12805" width="10.44140625" style="14" customWidth="1"/>
    <col min="12806" max="12806" width="9.21875" style="14" customWidth="1"/>
    <col min="12807" max="12807" width="9.109375" style="14" customWidth="1"/>
    <col min="12808" max="13056" width="8.88671875" style="14"/>
    <col min="13057" max="13057" width="34" style="14" bestFit="1" customWidth="1"/>
    <col min="13058" max="13058" width="14.6640625" style="14" bestFit="1" customWidth="1"/>
    <col min="13059" max="13059" width="17.6640625" style="14" bestFit="1" customWidth="1"/>
    <col min="13060" max="13060" width="12.77734375" style="14" customWidth="1"/>
    <col min="13061" max="13061" width="10.44140625" style="14" customWidth="1"/>
    <col min="13062" max="13062" width="9.21875" style="14" customWidth="1"/>
    <col min="13063" max="13063" width="9.109375" style="14" customWidth="1"/>
    <col min="13064" max="13312" width="8.88671875" style="14"/>
    <col min="13313" max="13313" width="34" style="14" bestFit="1" customWidth="1"/>
    <col min="13314" max="13314" width="14.6640625" style="14" bestFit="1" customWidth="1"/>
    <col min="13315" max="13315" width="17.6640625" style="14" bestFit="1" customWidth="1"/>
    <col min="13316" max="13316" width="12.77734375" style="14" customWidth="1"/>
    <col min="13317" max="13317" width="10.44140625" style="14" customWidth="1"/>
    <col min="13318" max="13318" width="9.21875" style="14" customWidth="1"/>
    <col min="13319" max="13319" width="9.109375" style="14" customWidth="1"/>
    <col min="13320" max="13568" width="8.88671875" style="14"/>
    <col min="13569" max="13569" width="34" style="14" bestFit="1" customWidth="1"/>
    <col min="13570" max="13570" width="14.6640625" style="14" bestFit="1" customWidth="1"/>
    <col min="13571" max="13571" width="17.6640625" style="14" bestFit="1" customWidth="1"/>
    <col min="13572" max="13572" width="12.77734375" style="14" customWidth="1"/>
    <col min="13573" max="13573" width="10.44140625" style="14" customWidth="1"/>
    <col min="13574" max="13574" width="9.21875" style="14" customWidth="1"/>
    <col min="13575" max="13575" width="9.109375" style="14" customWidth="1"/>
    <col min="13576" max="13824" width="8.88671875" style="14"/>
    <col min="13825" max="13825" width="34" style="14" bestFit="1" customWidth="1"/>
    <col min="13826" max="13826" width="14.6640625" style="14" bestFit="1" customWidth="1"/>
    <col min="13827" max="13827" width="17.6640625" style="14" bestFit="1" customWidth="1"/>
    <col min="13828" max="13828" width="12.77734375" style="14" customWidth="1"/>
    <col min="13829" max="13829" width="10.44140625" style="14" customWidth="1"/>
    <col min="13830" max="13830" width="9.21875" style="14" customWidth="1"/>
    <col min="13831" max="13831" width="9.109375" style="14" customWidth="1"/>
    <col min="13832" max="14080" width="8.88671875" style="14"/>
    <col min="14081" max="14081" width="34" style="14" bestFit="1" customWidth="1"/>
    <col min="14082" max="14082" width="14.6640625" style="14" bestFit="1" customWidth="1"/>
    <col min="14083" max="14083" width="17.6640625" style="14" bestFit="1" customWidth="1"/>
    <col min="14084" max="14084" width="12.77734375" style="14" customWidth="1"/>
    <col min="14085" max="14085" width="10.44140625" style="14" customWidth="1"/>
    <col min="14086" max="14086" width="9.21875" style="14" customWidth="1"/>
    <col min="14087" max="14087" width="9.109375" style="14" customWidth="1"/>
    <col min="14088" max="14336" width="8.88671875" style="14"/>
    <col min="14337" max="14337" width="34" style="14" bestFit="1" customWidth="1"/>
    <col min="14338" max="14338" width="14.6640625" style="14" bestFit="1" customWidth="1"/>
    <col min="14339" max="14339" width="17.6640625" style="14" bestFit="1" customWidth="1"/>
    <col min="14340" max="14340" width="12.77734375" style="14" customWidth="1"/>
    <col min="14341" max="14341" width="10.44140625" style="14" customWidth="1"/>
    <col min="14342" max="14342" width="9.21875" style="14" customWidth="1"/>
    <col min="14343" max="14343" width="9.109375" style="14" customWidth="1"/>
    <col min="14344" max="14592" width="8.88671875" style="14"/>
    <col min="14593" max="14593" width="34" style="14" bestFit="1" customWidth="1"/>
    <col min="14594" max="14594" width="14.6640625" style="14" bestFit="1" customWidth="1"/>
    <col min="14595" max="14595" width="17.6640625" style="14" bestFit="1" customWidth="1"/>
    <col min="14596" max="14596" width="12.77734375" style="14" customWidth="1"/>
    <col min="14597" max="14597" width="10.44140625" style="14" customWidth="1"/>
    <col min="14598" max="14598" width="9.21875" style="14" customWidth="1"/>
    <col min="14599" max="14599" width="9.109375" style="14" customWidth="1"/>
    <col min="14600" max="14848" width="8.88671875" style="14"/>
    <col min="14849" max="14849" width="34" style="14" bestFit="1" customWidth="1"/>
    <col min="14850" max="14850" width="14.6640625" style="14" bestFit="1" customWidth="1"/>
    <col min="14851" max="14851" width="17.6640625" style="14" bestFit="1" customWidth="1"/>
    <col min="14852" max="14852" width="12.77734375" style="14" customWidth="1"/>
    <col min="14853" max="14853" width="10.44140625" style="14" customWidth="1"/>
    <col min="14854" max="14854" width="9.21875" style="14" customWidth="1"/>
    <col min="14855" max="14855" width="9.109375" style="14" customWidth="1"/>
    <col min="14856" max="15104" width="8.88671875" style="14"/>
    <col min="15105" max="15105" width="34" style="14" bestFit="1" customWidth="1"/>
    <col min="15106" max="15106" width="14.6640625" style="14" bestFit="1" customWidth="1"/>
    <col min="15107" max="15107" width="17.6640625" style="14" bestFit="1" customWidth="1"/>
    <col min="15108" max="15108" width="12.77734375" style="14" customWidth="1"/>
    <col min="15109" max="15109" width="10.44140625" style="14" customWidth="1"/>
    <col min="15110" max="15110" width="9.21875" style="14" customWidth="1"/>
    <col min="15111" max="15111" width="9.109375" style="14" customWidth="1"/>
    <col min="15112" max="15360" width="8.88671875" style="14"/>
    <col min="15361" max="15361" width="34" style="14" bestFit="1" customWidth="1"/>
    <col min="15362" max="15362" width="14.6640625" style="14" bestFit="1" customWidth="1"/>
    <col min="15363" max="15363" width="17.6640625" style="14" bestFit="1" customWidth="1"/>
    <col min="15364" max="15364" width="12.77734375" style="14" customWidth="1"/>
    <col min="15365" max="15365" width="10.44140625" style="14" customWidth="1"/>
    <col min="15366" max="15366" width="9.21875" style="14" customWidth="1"/>
    <col min="15367" max="15367" width="9.109375" style="14" customWidth="1"/>
    <col min="15368" max="15616" width="8.88671875" style="14"/>
    <col min="15617" max="15617" width="34" style="14" bestFit="1" customWidth="1"/>
    <col min="15618" max="15618" width="14.6640625" style="14" bestFit="1" customWidth="1"/>
    <col min="15619" max="15619" width="17.6640625" style="14" bestFit="1" customWidth="1"/>
    <col min="15620" max="15620" width="12.77734375" style="14" customWidth="1"/>
    <col min="15621" max="15621" width="10.44140625" style="14" customWidth="1"/>
    <col min="15622" max="15622" width="9.21875" style="14" customWidth="1"/>
    <col min="15623" max="15623" width="9.109375" style="14" customWidth="1"/>
    <col min="15624" max="15872" width="8.88671875" style="14"/>
    <col min="15873" max="15873" width="34" style="14" bestFit="1" customWidth="1"/>
    <col min="15874" max="15874" width="14.6640625" style="14" bestFit="1" customWidth="1"/>
    <col min="15875" max="15875" width="17.6640625" style="14" bestFit="1" customWidth="1"/>
    <col min="15876" max="15876" width="12.77734375" style="14" customWidth="1"/>
    <col min="15877" max="15877" width="10.44140625" style="14" customWidth="1"/>
    <col min="15878" max="15878" width="9.21875" style="14" customWidth="1"/>
    <col min="15879" max="15879" width="9.109375" style="14" customWidth="1"/>
    <col min="15880" max="16128" width="8.88671875" style="14"/>
    <col min="16129" max="16129" width="34" style="14" bestFit="1" customWidth="1"/>
    <col min="16130" max="16130" width="14.6640625" style="14" bestFit="1" customWidth="1"/>
    <col min="16131" max="16131" width="17.6640625" style="14" bestFit="1" customWidth="1"/>
    <col min="16132" max="16132" width="12.77734375" style="14" customWidth="1"/>
    <col min="16133" max="16133" width="10.44140625" style="14" customWidth="1"/>
    <col min="16134" max="16134" width="9.21875" style="14" customWidth="1"/>
    <col min="16135" max="16135" width="9.109375" style="14" customWidth="1"/>
    <col min="16136" max="16384" width="8.88671875" style="14"/>
  </cols>
  <sheetData>
    <row r="1" spans="1:7" ht="18">
      <c r="A1" s="49" t="s">
        <v>410</v>
      </c>
      <c r="B1" s="50"/>
      <c r="C1" s="51">
        <v>0.06</v>
      </c>
      <c r="D1" s="50"/>
      <c r="E1" s="50"/>
      <c r="F1" s="50"/>
      <c r="G1" s="50"/>
    </row>
    <row r="2" spans="1:7" ht="18">
      <c r="A2" s="49" t="s">
        <v>408</v>
      </c>
      <c r="B2" s="50"/>
      <c r="C2" s="50">
        <v>120</v>
      </c>
      <c r="D2" s="50"/>
      <c r="E2" s="50"/>
      <c r="F2" s="50"/>
      <c r="G2" s="50"/>
    </row>
    <row r="3" spans="1:7" ht="27.6" customHeight="1">
      <c r="A3" s="49" t="s">
        <v>407</v>
      </c>
      <c r="B3" s="50"/>
      <c r="C3" s="52">
        <v>40000</v>
      </c>
      <c r="D3" s="50"/>
      <c r="E3" s="50"/>
      <c r="F3" s="50"/>
      <c r="G3" s="50"/>
    </row>
    <row r="4" spans="1:7" ht="18">
      <c r="A4" s="49"/>
      <c r="B4" s="265">
        <f>PMT(C1/12,C2,-C3)</f>
        <v>444.08200776659777</v>
      </c>
      <c r="C4" s="53">
        <v>120</v>
      </c>
      <c r="D4" s="53">
        <v>180</v>
      </c>
      <c r="E4" s="53">
        <v>240</v>
      </c>
      <c r="F4" s="53">
        <v>300</v>
      </c>
      <c r="G4" s="53">
        <v>360</v>
      </c>
    </row>
    <row r="5" spans="1:7" ht="18">
      <c r="A5" s="49" t="s">
        <v>379</v>
      </c>
      <c r="B5" s="54">
        <v>0.06</v>
      </c>
      <c r="C5" s="55">
        <f t="dataTable" ref="C5:G13" dt2D="1" dtr="1" r1="C2" r2="C1"/>
        <v>444.08200776659777</v>
      </c>
      <c r="D5" s="55">
        <v>337.54273121938053</v>
      </c>
      <c r="E5" s="55">
        <v>286.57242339126594</v>
      </c>
      <c r="F5" s="55">
        <v>257.72056059420345</v>
      </c>
      <c r="G5" s="55">
        <v>239.82021006110091</v>
      </c>
    </row>
    <row r="6" spans="1:7" ht="18">
      <c r="A6" s="50"/>
      <c r="B6" s="54">
        <v>6.5000000000000002E-2</v>
      </c>
      <c r="C6" s="55">
        <v>454.19190888010405</v>
      </c>
      <c r="D6" s="55">
        <v>348.44294611894463</v>
      </c>
      <c r="E6" s="55">
        <v>298.22925420603883</v>
      </c>
      <c r="F6" s="55">
        <v>270.08286453905583</v>
      </c>
      <c r="G6" s="55">
        <v>252.8272093971855</v>
      </c>
    </row>
    <row r="7" spans="1:7" ht="18">
      <c r="A7" s="50"/>
      <c r="B7" s="54">
        <v>7.0000000000000007E-2</v>
      </c>
      <c r="C7" s="55">
        <v>464.43391687449622</v>
      </c>
      <c r="D7" s="55">
        <v>359.53130834097078</v>
      </c>
      <c r="E7" s="55">
        <v>310.11957424754985</v>
      </c>
      <c r="F7" s="55">
        <v>282.71167891003671</v>
      </c>
      <c r="G7" s="55">
        <v>266.12099807167328</v>
      </c>
    </row>
    <row r="8" spans="1:7" ht="18">
      <c r="A8" s="50"/>
      <c r="B8" s="54">
        <v>7.4999999999999997E-2</v>
      </c>
      <c r="C8" s="55">
        <v>474.80707654341694</v>
      </c>
      <c r="D8" s="55">
        <v>370.80494400109529</v>
      </c>
      <c r="E8" s="55">
        <v>322.23727742072288</v>
      </c>
      <c r="F8" s="55">
        <v>295.59647111898374</v>
      </c>
      <c r="G8" s="55">
        <v>279.68580342111164</v>
      </c>
    </row>
    <row r="9" spans="1:7" ht="18">
      <c r="A9" s="50"/>
      <c r="B9" s="54">
        <v>0.08</v>
      </c>
      <c r="C9" s="55">
        <v>485.31037742142775</v>
      </c>
      <c r="D9" s="55">
        <v>382.26083373214055</v>
      </c>
      <c r="E9" s="55">
        <v>334.57602759738512</v>
      </c>
      <c r="F9" s="55">
        <v>308.72648774920123</v>
      </c>
      <c r="G9" s="55">
        <v>293.50582955175048</v>
      </c>
    </row>
    <row r="10" spans="1:7" ht="18">
      <c r="A10" s="50"/>
      <c r="B10" s="54">
        <v>8.5000000000000006E-2</v>
      </c>
      <c r="C10" s="55">
        <v>495.94275549804451</v>
      </c>
      <c r="D10" s="55">
        <v>393.89582317023729</v>
      </c>
      <c r="E10" s="55">
        <v>347.12929334621361</v>
      </c>
      <c r="F10" s="55">
        <v>322.09083338485249</v>
      </c>
      <c r="G10" s="55">
        <v>307.56539343373345</v>
      </c>
    </row>
    <row r="11" spans="1:7" ht="18">
      <c r="A11" s="50"/>
      <c r="B11" s="54">
        <v>0.09</v>
      </c>
      <c r="C11" s="55">
        <v>506.70309500099785</v>
      </c>
      <c r="D11" s="55">
        <v>405.70663366471399</v>
      </c>
      <c r="E11" s="55">
        <v>359.89038234006921</v>
      </c>
      <c r="F11" s="55">
        <v>335.67854545393737</v>
      </c>
      <c r="G11" s="55">
        <v>321.84904677791309</v>
      </c>
    </row>
    <row r="12" spans="1:7" ht="18">
      <c r="A12" s="50"/>
      <c r="B12" s="54">
        <v>9.5000000000000001E-2</v>
      </c>
      <c r="C12" s="55">
        <v>517.59023024310807</v>
      </c>
      <c r="D12" s="55">
        <v>417.68987314551458</v>
      </c>
      <c r="E12" s="55">
        <v>372.85247513340721</v>
      </c>
      <c r="F12" s="55">
        <v>349.47866434522979</v>
      </c>
      <c r="G12" s="55">
        <v>336.34168287149924</v>
      </c>
    </row>
    <row r="13" spans="1:7" ht="18">
      <c r="A13" s="50"/>
      <c r="B13" s="54">
        <v>0.1</v>
      </c>
      <c r="C13" s="55">
        <v>528.60294752704658</v>
      </c>
      <c r="D13" s="55">
        <v>429.84204708324643</v>
      </c>
      <c r="E13" s="55">
        <v>386.00865802960311</v>
      </c>
      <c r="F13" s="55">
        <v>363.48029821602421</v>
      </c>
      <c r="G13" s="55">
        <v>351.02862803551949</v>
      </c>
    </row>
    <row r="14" spans="1:7" ht="18">
      <c r="A14" s="22"/>
      <c r="B14" s="22"/>
      <c r="C14" s="22"/>
      <c r="D14" s="22"/>
      <c r="E14" s="22"/>
      <c r="F14" s="22"/>
      <c r="G14" s="22"/>
    </row>
    <row r="15" spans="1:7" ht="33">
      <c r="A15" s="15"/>
      <c r="B15" s="15"/>
      <c r="C15" s="15"/>
      <c r="D15" s="15"/>
      <c r="E15" s="15"/>
      <c r="F15" s="15"/>
      <c r="G15" s="15"/>
    </row>
  </sheetData>
  <customSheetViews>
    <customSheetView guid="{BBE43EB8-AC5B-419E-90E4-72D0C525AF66}" scale="80" showGridLines="0">
      <pageMargins left="0.75" right="0.75" top="1" bottom="1" header="0.5" footer="0.5"/>
      <headerFooter alignWithMargins="0"/>
    </customSheetView>
  </customSheetView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7"/>
  <dimension ref="A1:E28"/>
  <sheetViews>
    <sheetView zoomScale="130" zoomScaleNormal="130" workbookViewId="0">
      <selection activeCell="D20" sqref="D20"/>
    </sheetView>
  </sheetViews>
  <sheetFormatPr defaultRowHeight="12.75"/>
  <cols>
    <col min="1" max="1" width="9.109375" style="14" bestFit="1" customWidth="1"/>
    <col min="2" max="2" width="20.77734375" style="14" bestFit="1" customWidth="1"/>
    <col min="3" max="3" width="9.109375" style="16" bestFit="1" customWidth="1"/>
    <col min="4" max="4" width="8.88671875" style="14"/>
    <col min="5" max="5" width="7.88671875" style="14" bestFit="1" customWidth="1"/>
    <col min="6" max="256" width="8.88671875" style="14"/>
    <col min="257" max="257" width="9.109375" style="14" bestFit="1" customWidth="1"/>
    <col min="258" max="258" width="9.109375" style="14" customWidth="1"/>
    <col min="259" max="259" width="9.109375" style="14" bestFit="1" customWidth="1"/>
    <col min="260" max="260" width="8.88671875" style="14"/>
    <col min="261" max="261" width="7.88671875" style="14" bestFit="1" customWidth="1"/>
    <col min="262" max="512" width="8.88671875" style="14"/>
    <col min="513" max="513" width="9.109375" style="14" bestFit="1" customWidth="1"/>
    <col min="514" max="514" width="9.109375" style="14" customWidth="1"/>
    <col min="515" max="515" width="9.109375" style="14" bestFit="1" customWidth="1"/>
    <col min="516" max="516" width="8.88671875" style="14"/>
    <col min="517" max="517" width="7.88671875" style="14" bestFit="1" customWidth="1"/>
    <col min="518" max="768" width="8.88671875" style="14"/>
    <col min="769" max="769" width="9.109375" style="14" bestFit="1" customWidth="1"/>
    <col min="770" max="770" width="9.109375" style="14" customWidth="1"/>
    <col min="771" max="771" width="9.109375" style="14" bestFit="1" customWidth="1"/>
    <col min="772" max="772" width="8.88671875" style="14"/>
    <col min="773" max="773" width="7.88671875" style="14" bestFit="1" customWidth="1"/>
    <col min="774" max="1024" width="8.88671875" style="14"/>
    <col min="1025" max="1025" width="9.109375" style="14" bestFit="1" customWidth="1"/>
    <col min="1026" max="1026" width="9.109375" style="14" customWidth="1"/>
    <col min="1027" max="1027" width="9.109375" style="14" bestFit="1" customWidth="1"/>
    <col min="1028" max="1028" width="8.88671875" style="14"/>
    <col min="1029" max="1029" width="7.88671875" style="14" bestFit="1" customWidth="1"/>
    <col min="1030" max="1280" width="8.88671875" style="14"/>
    <col min="1281" max="1281" width="9.109375" style="14" bestFit="1" customWidth="1"/>
    <col min="1282" max="1282" width="9.109375" style="14" customWidth="1"/>
    <col min="1283" max="1283" width="9.109375" style="14" bestFit="1" customWidth="1"/>
    <col min="1284" max="1284" width="8.88671875" style="14"/>
    <col min="1285" max="1285" width="7.88671875" style="14" bestFit="1" customWidth="1"/>
    <col min="1286" max="1536" width="8.88671875" style="14"/>
    <col min="1537" max="1537" width="9.109375" style="14" bestFit="1" customWidth="1"/>
    <col min="1538" max="1538" width="9.109375" style="14" customWidth="1"/>
    <col min="1539" max="1539" width="9.109375" style="14" bestFit="1" customWidth="1"/>
    <col min="1540" max="1540" width="8.88671875" style="14"/>
    <col min="1541" max="1541" width="7.88671875" style="14" bestFit="1" customWidth="1"/>
    <col min="1542" max="1792" width="8.88671875" style="14"/>
    <col min="1793" max="1793" width="9.109375" style="14" bestFit="1" customWidth="1"/>
    <col min="1794" max="1794" width="9.109375" style="14" customWidth="1"/>
    <col min="1795" max="1795" width="9.109375" style="14" bestFit="1" customWidth="1"/>
    <col min="1796" max="1796" width="8.88671875" style="14"/>
    <col min="1797" max="1797" width="7.88671875" style="14" bestFit="1" customWidth="1"/>
    <col min="1798" max="2048" width="8.88671875" style="14"/>
    <col min="2049" max="2049" width="9.109375" style="14" bestFit="1" customWidth="1"/>
    <col min="2050" max="2050" width="9.109375" style="14" customWidth="1"/>
    <col min="2051" max="2051" width="9.109375" style="14" bestFit="1" customWidth="1"/>
    <col min="2052" max="2052" width="8.88671875" style="14"/>
    <col min="2053" max="2053" width="7.88671875" style="14" bestFit="1" customWidth="1"/>
    <col min="2054" max="2304" width="8.88671875" style="14"/>
    <col min="2305" max="2305" width="9.109375" style="14" bestFit="1" customWidth="1"/>
    <col min="2306" max="2306" width="9.109375" style="14" customWidth="1"/>
    <col min="2307" max="2307" width="9.109375" style="14" bestFit="1" customWidth="1"/>
    <col min="2308" max="2308" width="8.88671875" style="14"/>
    <col min="2309" max="2309" width="7.88671875" style="14" bestFit="1" customWidth="1"/>
    <col min="2310" max="2560" width="8.88671875" style="14"/>
    <col min="2561" max="2561" width="9.109375" style="14" bestFit="1" customWidth="1"/>
    <col min="2562" max="2562" width="9.109375" style="14" customWidth="1"/>
    <col min="2563" max="2563" width="9.109375" style="14" bestFit="1" customWidth="1"/>
    <col min="2564" max="2564" width="8.88671875" style="14"/>
    <col min="2565" max="2565" width="7.88671875" style="14" bestFit="1" customWidth="1"/>
    <col min="2566" max="2816" width="8.88671875" style="14"/>
    <col min="2817" max="2817" width="9.109375" style="14" bestFit="1" customWidth="1"/>
    <col min="2818" max="2818" width="9.109375" style="14" customWidth="1"/>
    <col min="2819" max="2819" width="9.109375" style="14" bestFit="1" customWidth="1"/>
    <col min="2820" max="2820" width="8.88671875" style="14"/>
    <col min="2821" max="2821" width="7.88671875" style="14" bestFit="1" customWidth="1"/>
    <col min="2822" max="3072" width="8.88671875" style="14"/>
    <col min="3073" max="3073" width="9.109375" style="14" bestFit="1" customWidth="1"/>
    <col min="3074" max="3074" width="9.109375" style="14" customWidth="1"/>
    <col min="3075" max="3075" width="9.109375" style="14" bestFit="1" customWidth="1"/>
    <col min="3076" max="3076" width="8.88671875" style="14"/>
    <col min="3077" max="3077" width="7.88671875" style="14" bestFit="1" customWidth="1"/>
    <col min="3078" max="3328" width="8.88671875" style="14"/>
    <col min="3329" max="3329" width="9.109375" style="14" bestFit="1" customWidth="1"/>
    <col min="3330" max="3330" width="9.109375" style="14" customWidth="1"/>
    <col min="3331" max="3331" width="9.109375" style="14" bestFit="1" customWidth="1"/>
    <col min="3332" max="3332" width="8.88671875" style="14"/>
    <col min="3333" max="3333" width="7.88671875" style="14" bestFit="1" customWidth="1"/>
    <col min="3334" max="3584" width="8.88671875" style="14"/>
    <col min="3585" max="3585" width="9.109375" style="14" bestFit="1" customWidth="1"/>
    <col min="3586" max="3586" width="9.109375" style="14" customWidth="1"/>
    <col min="3587" max="3587" width="9.109375" style="14" bestFit="1" customWidth="1"/>
    <col min="3588" max="3588" width="8.88671875" style="14"/>
    <col min="3589" max="3589" width="7.88671875" style="14" bestFit="1" customWidth="1"/>
    <col min="3590" max="3840" width="8.88671875" style="14"/>
    <col min="3841" max="3841" width="9.109375" style="14" bestFit="1" customWidth="1"/>
    <col min="3842" max="3842" width="9.109375" style="14" customWidth="1"/>
    <col min="3843" max="3843" width="9.109375" style="14" bestFit="1" customWidth="1"/>
    <col min="3844" max="3844" width="8.88671875" style="14"/>
    <col min="3845" max="3845" width="7.88671875" style="14" bestFit="1" customWidth="1"/>
    <col min="3846" max="4096" width="8.88671875" style="14"/>
    <col min="4097" max="4097" width="9.109375" style="14" bestFit="1" customWidth="1"/>
    <col min="4098" max="4098" width="9.109375" style="14" customWidth="1"/>
    <col min="4099" max="4099" width="9.109375" style="14" bestFit="1" customWidth="1"/>
    <col min="4100" max="4100" width="8.88671875" style="14"/>
    <col min="4101" max="4101" width="7.88671875" style="14" bestFit="1" customWidth="1"/>
    <col min="4102" max="4352" width="8.88671875" style="14"/>
    <col min="4353" max="4353" width="9.109375" style="14" bestFit="1" customWidth="1"/>
    <col min="4354" max="4354" width="9.109375" style="14" customWidth="1"/>
    <col min="4355" max="4355" width="9.109375" style="14" bestFit="1" customWidth="1"/>
    <col min="4356" max="4356" width="8.88671875" style="14"/>
    <col min="4357" max="4357" width="7.88671875" style="14" bestFit="1" customWidth="1"/>
    <col min="4358" max="4608" width="8.88671875" style="14"/>
    <col min="4609" max="4609" width="9.109375" style="14" bestFit="1" customWidth="1"/>
    <col min="4610" max="4610" width="9.109375" style="14" customWidth="1"/>
    <col min="4611" max="4611" width="9.109375" style="14" bestFit="1" customWidth="1"/>
    <col min="4612" max="4612" width="8.88671875" style="14"/>
    <col min="4613" max="4613" width="7.88671875" style="14" bestFit="1" customWidth="1"/>
    <col min="4614" max="4864" width="8.88671875" style="14"/>
    <col min="4865" max="4865" width="9.109375" style="14" bestFit="1" customWidth="1"/>
    <col min="4866" max="4866" width="9.109375" style="14" customWidth="1"/>
    <col min="4867" max="4867" width="9.109375" style="14" bestFit="1" customWidth="1"/>
    <col min="4868" max="4868" width="8.88671875" style="14"/>
    <col min="4869" max="4869" width="7.88671875" style="14" bestFit="1" customWidth="1"/>
    <col min="4870" max="5120" width="8.88671875" style="14"/>
    <col min="5121" max="5121" width="9.109375" style="14" bestFit="1" customWidth="1"/>
    <col min="5122" max="5122" width="9.109375" style="14" customWidth="1"/>
    <col min="5123" max="5123" width="9.109375" style="14" bestFit="1" customWidth="1"/>
    <col min="5124" max="5124" width="8.88671875" style="14"/>
    <col min="5125" max="5125" width="7.88671875" style="14" bestFit="1" customWidth="1"/>
    <col min="5126" max="5376" width="8.88671875" style="14"/>
    <col min="5377" max="5377" width="9.109375" style="14" bestFit="1" customWidth="1"/>
    <col min="5378" max="5378" width="9.109375" style="14" customWidth="1"/>
    <col min="5379" max="5379" width="9.109375" style="14" bestFit="1" customWidth="1"/>
    <col min="5380" max="5380" width="8.88671875" style="14"/>
    <col min="5381" max="5381" width="7.88671875" style="14" bestFit="1" customWidth="1"/>
    <col min="5382" max="5632" width="8.88671875" style="14"/>
    <col min="5633" max="5633" width="9.109375" style="14" bestFit="1" customWidth="1"/>
    <col min="5634" max="5634" width="9.109375" style="14" customWidth="1"/>
    <col min="5635" max="5635" width="9.109375" style="14" bestFit="1" customWidth="1"/>
    <col min="5636" max="5636" width="8.88671875" style="14"/>
    <col min="5637" max="5637" width="7.88671875" style="14" bestFit="1" customWidth="1"/>
    <col min="5638" max="5888" width="8.88671875" style="14"/>
    <col min="5889" max="5889" width="9.109375" style="14" bestFit="1" customWidth="1"/>
    <col min="5890" max="5890" width="9.109375" style="14" customWidth="1"/>
    <col min="5891" max="5891" width="9.109375" style="14" bestFit="1" customWidth="1"/>
    <col min="5892" max="5892" width="8.88671875" style="14"/>
    <col min="5893" max="5893" width="7.88671875" style="14" bestFit="1" customWidth="1"/>
    <col min="5894" max="6144" width="8.88671875" style="14"/>
    <col min="6145" max="6145" width="9.109375" style="14" bestFit="1" customWidth="1"/>
    <col min="6146" max="6146" width="9.109375" style="14" customWidth="1"/>
    <col min="6147" max="6147" width="9.109375" style="14" bestFit="1" customWidth="1"/>
    <col min="6148" max="6148" width="8.88671875" style="14"/>
    <col min="6149" max="6149" width="7.88671875" style="14" bestFit="1" customWidth="1"/>
    <col min="6150" max="6400" width="8.88671875" style="14"/>
    <col min="6401" max="6401" width="9.109375" style="14" bestFit="1" customWidth="1"/>
    <col min="6402" max="6402" width="9.109375" style="14" customWidth="1"/>
    <col min="6403" max="6403" width="9.109375" style="14" bestFit="1" customWidth="1"/>
    <col min="6404" max="6404" width="8.88671875" style="14"/>
    <col min="6405" max="6405" width="7.88671875" style="14" bestFit="1" customWidth="1"/>
    <col min="6406" max="6656" width="8.88671875" style="14"/>
    <col min="6657" max="6657" width="9.109375" style="14" bestFit="1" customWidth="1"/>
    <col min="6658" max="6658" width="9.109375" style="14" customWidth="1"/>
    <col min="6659" max="6659" width="9.109375" style="14" bestFit="1" customWidth="1"/>
    <col min="6660" max="6660" width="8.88671875" style="14"/>
    <col min="6661" max="6661" width="7.88671875" style="14" bestFit="1" customWidth="1"/>
    <col min="6662" max="6912" width="8.88671875" style="14"/>
    <col min="6913" max="6913" width="9.109375" style="14" bestFit="1" customWidth="1"/>
    <col min="6914" max="6914" width="9.109375" style="14" customWidth="1"/>
    <col min="6915" max="6915" width="9.109375" style="14" bestFit="1" customWidth="1"/>
    <col min="6916" max="6916" width="8.88671875" style="14"/>
    <col min="6917" max="6917" width="7.88671875" style="14" bestFit="1" customWidth="1"/>
    <col min="6918" max="7168" width="8.88671875" style="14"/>
    <col min="7169" max="7169" width="9.109375" style="14" bestFit="1" customWidth="1"/>
    <col min="7170" max="7170" width="9.109375" style="14" customWidth="1"/>
    <col min="7171" max="7171" width="9.109375" style="14" bestFit="1" customWidth="1"/>
    <col min="7172" max="7172" width="8.88671875" style="14"/>
    <col min="7173" max="7173" width="7.88671875" style="14" bestFit="1" customWidth="1"/>
    <col min="7174" max="7424" width="8.88671875" style="14"/>
    <col min="7425" max="7425" width="9.109375" style="14" bestFit="1" customWidth="1"/>
    <col min="7426" max="7426" width="9.109375" style="14" customWidth="1"/>
    <col min="7427" max="7427" width="9.109375" style="14" bestFit="1" customWidth="1"/>
    <col min="7428" max="7428" width="8.88671875" style="14"/>
    <col min="7429" max="7429" width="7.88671875" style="14" bestFit="1" customWidth="1"/>
    <col min="7430" max="7680" width="8.88671875" style="14"/>
    <col min="7681" max="7681" width="9.109375" style="14" bestFit="1" customWidth="1"/>
    <col min="7682" max="7682" width="9.109375" style="14" customWidth="1"/>
    <col min="7683" max="7683" width="9.109375" style="14" bestFit="1" customWidth="1"/>
    <col min="7684" max="7684" width="8.88671875" style="14"/>
    <col min="7685" max="7685" width="7.88671875" style="14" bestFit="1" customWidth="1"/>
    <col min="7686" max="7936" width="8.88671875" style="14"/>
    <col min="7937" max="7937" width="9.109375" style="14" bestFit="1" customWidth="1"/>
    <col min="7938" max="7938" width="9.109375" style="14" customWidth="1"/>
    <col min="7939" max="7939" width="9.109375" style="14" bestFit="1" customWidth="1"/>
    <col min="7940" max="7940" width="8.88671875" style="14"/>
    <col min="7941" max="7941" width="7.88671875" style="14" bestFit="1" customWidth="1"/>
    <col min="7942" max="8192" width="8.88671875" style="14"/>
    <col min="8193" max="8193" width="9.109375" style="14" bestFit="1" customWidth="1"/>
    <col min="8194" max="8194" width="9.109375" style="14" customWidth="1"/>
    <col min="8195" max="8195" width="9.109375" style="14" bestFit="1" customWidth="1"/>
    <col min="8196" max="8196" width="8.88671875" style="14"/>
    <col min="8197" max="8197" width="7.88671875" style="14" bestFit="1" customWidth="1"/>
    <col min="8198" max="8448" width="8.88671875" style="14"/>
    <col min="8449" max="8449" width="9.109375" style="14" bestFit="1" customWidth="1"/>
    <col min="8450" max="8450" width="9.109375" style="14" customWidth="1"/>
    <col min="8451" max="8451" width="9.109375" style="14" bestFit="1" customWidth="1"/>
    <col min="8452" max="8452" width="8.88671875" style="14"/>
    <col min="8453" max="8453" width="7.88671875" style="14" bestFit="1" customWidth="1"/>
    <col min="8454" max="8704" width="8.88671875" style="14"/>
    <col min="8705" max="8705" width="9.109375" style="14" bestFit="1" customWidth="1"/>
    <col min="8706" max="8706" width="9.109375" style="14" customWidth="1"/>
    <col min="8707" max="8707" width="9.109375" style="14" bestFit="1" customWidth="1"/>
    <col min="8708" max="8708" width="8.88671875" style="14"/>
    <col min="8709" max="8709" width="7.88671875" style="14" bestFit="1" customWidth="1"/>
    <col min="8710" max="8960" width="8.88671875" style="14"/>
    <col min="8961" max="8961" width="9.109375" style="14" bestFit="1" customWidth="1"/>
    <col min="8962" max="8962" width="9.109375" style="14" customWidth="1"/>
    <col min="8963" max="8963" width="9.109375" style="14" bestFit="1" customWidth="1"/>
    <col min="8964" max="8964" width="8.88671875" style="14"/>
    <col min="8965" max="8965" width="7.88671875" style="14" bestFit="1" customWidth="1"/>
    <col min="8966" max="9216" width="8.88671875" style="14"/>
    <col min="9217" max="9217" width="9.109375" style="14" bestFit="1" customWidth="1"/>
    <col min="9218" max="9218" width="9.109375" style="14" customWidth="1"/>
    <col min="9219" max="9219" width="9.109375" style="14" bestFit="1" customWidth="1"/>
    <col min="9220" max="9220" width="8.88671875" style="14"/>
    <col min="9221" max="9221" width="7.88671875" style="14" bestFit="1" customWidth="1"/>
    <col min="9222" max="9472" width="8.88671875" style="14"/>
    <col min="9473" max="9473" width="9.109375" style="14" bestFit="1" customWidth="1"/>
    <col min="9474" max="9474" width="9.109375" style="14" customWidth="1"/>
    <col min="9475" max="9475" width="9.109375" style="14" bestFit="1" customWidth="1"/>
    <col min="9476" max="9476" width="8.88671875" style="14"/>
    <col min="9477" max="9477" width="7.88671875" style="14" bestFit="1" customWidth="1"/>
    <col min="9478" max="9728" width="8.88671875" style="14"/>
    <col min="9729" max="9729" width="9.109375" style="14" bestFit="1" customWidth="1"/>
    <col min="9730" max="9730" width="9.109375" style="14" customWidth="1"/>
    <col min="9731" max="9731" width="9.109375" style="14" bestFit="1" customWidth="1"/>
    <col min="9732" max="9732" width="8.88671875" style="14"/>
    <col min="9733" max="9733" width="7.88671875" style="14" bestFit="1" customWidth="1"/>
    <col min="9734" max="9984" width="8.88671875" style="14"/>
    <col min="9985" max="9985" width="9.109375" style="14" bestFit="1" customWidth="1"/>
    <col min="9986" max="9986" width="9.109375" style="14" customWidth="1"/>
    <col min="9987" max="9987" width="9.109375" style="14" bestFit="1" customWidth="1"/>
    <col min="9988" max="9988" width="8.88671875" style="14"/>
    <col min="9989" max="9989" width="7.88671875" style="14" bestFit="1" customWidth="1"/>
    <col min="9990" max="10240" width="8.88671875" style="14"/>
    <col min="10241" max="10241" width="9.109375" style="14" bestFit="1" customWidth="1"/>
    <col min="10242" max="10242" width="9.109375" style="14" customWidth="1"/>
    <col min="10243" max="10243" width="9.109375" style="14" bestFit="1" customWidth="1"/>
    <col min="10244" max="10244" width="8.88671875" style="14"/>
    <col min="10245" max="10245" width="7.88671875" style="14" bestFit="1" customWidth="1"/>
    <col min="10246" max="10496" width="8.88671875" style="14"/>
    <col min="10497" max="10497" width="9.109375" style="14" bestFit="1" customWidth="1"/>
    <col min="10498" max="10498" width="9.109375" style="14" customWidth="1"/>
    <col min="10499" max="10499" width="9.109375" style="14" bestFit="1" customWidth="1"/>
    <col min="10500" max="10500" width="8.88671875" style="14"/>
    <col min="10501" max="10501" width="7.88671875" style="14" bestFit="1" customWidth="1"/>
    <col min="10502" max="10752" width="8.88671875" style="14"/>
    <col min="10753" max="10753" width="9.109375" style="14" bestFit="1" customWidth="1"/>
    <col min="10754" max="10754" width="9.109375" style="14" customWidth="1"/>
    <col min="10755" max="10755" width="9.109375" style="14" bestFit="1" customWidth="1"/>
    <col min="10756" max="10756" width="8.88671875" style="14"/>
    <col min="10757" max="10757" width="7.88671875" style="14" bestFit="1" customWidth="1"/>
    <col min="10758" max="11008" width="8.88671875" style="14"/>
    <col min="11009" max="11009" width="9.109375" style="14" bestFit="1" customWidth="1"/>
    <col min="11010" max="11010" width="9.109375" style="14" customWidth="1"/>
    <col min="11011" max="11011" width="9.109375" style="14" bestFit="1" customWidth="1"/>
    <col min="11012" max="11012" width="8.88671875" style="14"/>
    <col min="11013" max="11013" width="7.88671875" style="14" bestFit="1" customWidth="1"/>
    <col min="11014" max="11264" width="8.88671875" style="14"/>
    <col min="11265" max="11265" width="9.109375" style="14" bestFit="1" customWidth="1"/>
    <col min="11266" max="11266" width="9.109375" style="14" customWidth="1"/>
    <col min="11267" max="11267" width="9.109375" style="14" bestFit="1" customWidth="1"/>
    <col min="11268" max="11268" width="8.88671875" style="14"/>
    <col min="11269" max="11269" width="7.88671875" style="14" bestFit="1" customWidth="1"/>
    <col min="11270" max="11520" width="8.88671875" style="14"/>
    <col min="11521" max="11521" width="9.109375" style="14" bestFit="1" customWidth="1"/>
    <col min="11522" max="11522" width="9.109375" style="14" customWidth="1"/>
    <col min="11523" max="11523" width="9.109375" style="14" bestFit="1" customWidth="1"/>
    <col min="11524" max="11524" width="8.88671875" style="14"/>
    <col min="11525" max="11525" width="7.88671875" style="14" bestFit="1" customWidth="1"/>
    <col min="11526" max="11776" width="8.88671875" style="14"/>
    <col min="11777" max="11777" width="9.109375" style="14" bestFit="1" customWidth="1"/>
    <col min="11778" max="11778" width="9.109375" style="14" customWidth="1"/>
    <col min="11779" max="11779" width="9.109375" style="14" bestFit="1" customWidth="1"/>
    <col min="11780" max="11780" width="8.88671875" style="14"/>
    <col min="11781" max="11781" width="7.88671875" style="14" bestFit="1" customWidth="1"/>
    <col min="11782" max="12032" width="8.88671875" style="14"/>
    <col min="12033" max="12033" width="9.109375" style="14" bestFit="1" customWidth="1"/>
    <col min="12034" max="12034" width="9.109375" style="14" customWidth="1"/>
    <col min="12035" max="12035" width="9.109375" style="14" bestFit="1" customWidth="1"/>
    <col min="12036" max="12036" width="8.88671875" style="14"/>
    <col min="12037" max="12037" width="7.88671875" style="14" bestFit="1" customWidth="1"/>
    <col min="12038" max="12288" width="8.88671875" style="14"/>
    <col min="12289" max="12289" width="9.109375" style="14" bestFit="1" customWidth="1"/>
    <col min="12290" max="12290" width="9.109375" style="14" customWidth="1"/>
    <col min="12291" max="12291" width="9.109375" style="14" bestFit="1" customWidth="1"/>
    <col min="12292" max="12292" width="8.88671875" style="14"/>
    <col min="12293" max="12293" width="7.88671875" style="14" bestFit="1" customWidth="1"/>
    <col min="12294" max="12544" width="8.88671875" style="14"/>
    <col min="12545" max="12545" width="9.109375" style="14" bestFit="1" customWidth="1"/>
    <col min="12546" max="12546" width="9.109375" style="14" customWidth="1"/>
    <col min="12547" max="12547" width="9.109375" style="14" bestFit="1" customWidth="1"/>
    <col min="12548" max="12548" width="8.88671875" style="14"/>
    <col min="12549" max="12549" width="7.88671875" style="14" bestFit="1" customWidth="1"/>
    <col min="12550" max="12800" width="8.88671875" style="14"/>
    <col min="12801" max="12801" width="9.109375" style="14" bestFit="1" customWidth="1"/>
    <col min="12802" max="12802" width="9.109375" style="14" customWidth="1"/>
    <col min="12803" max="12803" width="9.109375" style="14" bestFit="1" customWidth="1"/>
    <col min="12804" max="12804" width="8.88671875" style="14"/>
    <col min="12805" max="12805" width="7.88671875" style="14" bestFit="1" customWidth="1"/>
    <col min="12806" max="13056" width="8.88671875" style="14"/>
    <col min="13057" max="13057" width="9.109375" style="14" bestFit="1" customWidth="1"/>
    <col min="13058" max="13058" width="9.109375" style="14" customWidth="1"/>
    <col min="13059" max="13059" width="9.109375" style="14" bestFit="1" customWidth="1"/>
    <col min="13060" max="13060" width="8.88671875" style="14"/>
    <col min="13061" max="13061" width="7.88671875" style="14" bestFit="1" customWidth="1"/>
    <col min="13062" max="13312" width="8.88671875" style="14"/>
    <col min="13313" max="13313" width="9.109375" style="14" bestFit="1" customWidth="1"/>
    <col min="13314" max="13314" width="9.109375" style="14" customWidth="1"/>
    <col min="13315" max="13315" width="9.109375" style="14" bestFit="1" customWidth="1"/>
    <col min="13316" max="13316" width="8.88671875" style="14"/>
    <col min="13317" max="13317" width="7.88671875" style="14" bestFit="1" customWidth="1"/>
    <col min="13318" max="13568" width="8.88671875" style="14"/>
    <col min="13569" max="13569" width="9.109375" style="14" bestFit="1" customWidth="1"/>
    <col min="13570" max="13570" width="9.109375" style="14" customWidth="1"/>
    <col min="13571" max="13571" width="9.109375" style="14" bestFit="1" customWidth="1"/>
    <col min="13572" max="13572" width="8.88671875" style="14"/>
    <col min="13573" max="13573" width="7.88671875" style="14" bestFit="1" customWidth="1"/>
    <col min="13574" max="13824" width="8.88671875" style="14"/>
    <col min="13825" max="13825" width="9.109375" style="14" bestFit="1" customWidth="1"/>
    <col min="13826" max="13826" width="9.109375" style="14" customWidth="1"/>
    <col min="13827" max="13827" width="9.109375" style="14" bestFit="1" customWidth="1"/>
    <col min="13828" max="13828" width="8.88671875" style="14"/>
    <col min="13829" max="13829" width="7.88671875" style="14" bestFit="1" customWidth="1"/>
    <col min="13830" max="14080" width="8.88671875" style="14"/>
    <col min="14081" max="14081" width="9.109375" style="14" bestFit="1" customWidth="1"/>
    <col min="14082" max="14082" width="9.109375" style="14" customWidth="1"/>
    <col min="14083" max="14083" width="9.109375" style="14" bestFit="1" customWidth="1"/>
    <col min="14084" max="14084" width="8.88671875" style="14"/>
    <col min="14085" max="14085" width="7.88671875" style="14" bestFit="1" customWidth="1"/>
    <col min="14086" max="14336" width="8.88671875" style="14"/>
    <col min="14337" max="14337" width="9.109375" style="14" bestFit="1" customWidth="1"/>
    <col min="14338" max="14338" width="9.109375" style="14" customWidth="1"/>
    <col min="14339" max="14339" width="9.109375" style="14" bestFit="1" customWidth="1"/>
    <col min="14340" max="14340" width="8.88671875" style="14"/>
    <col min="14341" max="14341" width="7.88671875" style="14" bestFit="1" customWidth="1"/>
    <col min="14342" max="14592" width="8.88671875" style="14"/>
    <col min="14593" max="14593" width="9.109375" style="14" bestFit="1" customWidth="1"/>
    <col min="14594" max="14594" width="9.109375" style="14" customWidth="1"/>
    <col min="14595" max="14595" width="9.109375" style="14" bestFit="1" customWidth="1"/>
    <col min="14596" max="14596" width="8.88671875" style="14"/>
    <col min="14597" max="14597" width="7.88671875" style="14" bestFit="1" customWidth="1"/>
    <col min="14598" max="14848" width="8.88671875" style="14"/>
    <col min="14849" max="14849" width="9.109375" style="14" bestFit="1" customWidth="1"/>
    <col min="14850" max="14850" width="9.109375" style="14" customWidth="1"/>
    <col min="14851" max="14851" width="9.109375" style="14" bestFit="1" customWidth="1"/>
    <col min="14852" max="14852" width="8.88671875" style="14"/>
    <col min="14853" max="14853" width="7.88671875" style="14" bestFit="1" customWidth="1"/>
    <col min="14854" max="15104" width="8.88671875" style="14"/>
    <col min="15105" max="15105" width="9.109375" style="14" bestFit="1" customWidth="1"/>
    <col min="15106" max="15106" width="9.109375" style="14" customWidth="1"/>
    <col min="15107" max="15107" width="9.109375" style="14" bestFit="1" customWidth="1"/>
    <col min="15108" max="15108" width="8.88671875" style="14"/>
    <col min="15109" max="15109" width="7.88671875" style="14" bestFit="1" customWidth="1"/>
    <col min="15110" max="15360" width="8.88671875" style="14"/>
    <col min="15361" max="15361" width="9.109375" style="14" bestFit="1" customWidth="1"/>
    <col min="15362" max="15362" width="9.109375" style="14" customWidth="1"/>
    <col min="15363" max="15363" width="9.109375" style="14" bestFit="1" customWidth="1"/>
    <col min="15364" max="15364" width="8.88671875" style="14"/>
    <col min="15365" max="15365" width="7.88671875" style="14" bestFit="1" customWidth="1"/>
    <col min="15366" max="15616" width="8.88671875" style="14"/>
    <col min="15617" max="15617" width="9.109375" style="14" bestFit="1" customWidth="1"/>
    <col min="15618" max="15618" width="9.109375" style="14" customWidth="1"/>
    <col min="15619" max="15619" width="9.109375" style="14" bestFit="1" customWidth="1"/>
    <col min="15620" max="15620" width="8.88671875" style="14"/>
    <col min="15621" max="15621" width="7.88671875" style="14" bestFit="1" customWidth="1"/>
    <col min="15622" max="15872" width="8.88671875" style="14"/>
    <col min="15873" max="15873" width="9.109375" style="14" bestFit="1" customWidth="1"/>
    <col min="15874" max="15874" width="9.109375" style="14" customWidth="1"/>
    <col min="15875" max="15875" width="9.109375" style="14" bestFit="1" customWidth="1"/>
    <col min="15876" max="15876" width="8.88671875" style="14"/>
    <col min="15877" max="15877" width="7.88671875" style="14" bestFit="1" customWidth="1"/>
    <col min="15878" max="16128" width="8.88671875" style="14"/>
    <col min="16129" max="16129" width="9.109375" style="14" bestFit="1" customWidth="1"/>
    <col min="16130" max="16130" width="9.109375" style="14" customWidth="1"/>
    <col min="16131" max="16131" width="9.109375" style="14" bestFit="1" customWidth="1"/>
    <col min="16132" max="16132" width="8.88671875" style="14"/>
    <col min="16133" max="16133" width="7.88671875" style="14" bestFit="1" customWidth="1"/>
    <col min="16134" max="16384" width="8.88671875" style="14"/>
  </cols>
  <sheetData>
    <row r="1" spans="1:5">
      <c r="A1" s="20" t="s">
        <v>418</v>
      </c>
      <c r="B1" s="20" t="s">
        <v>509</v>
      </c>
      <c r="C1" s="21" t="s">
        <v>415</v>
      </c>
      <c r="D1" s="56" t="s">
        <v>510</v>
      </c>
      <c r="E1" s="56" t="s">
        <v>36</v>
      </c>
    </row>
    <row r="2" spans="1:5">
      <c r="A2" s="18" t="s">
        <v>398</v>
      </c>
      <c r="B2" s="18" t="s">
        <v>504</v>
      </c>
      <c r="C2" s="19" t="s">
        <v>429</v>
      </c>
      <c r="D2" s="57">
        <v>47</v>
      </c>
      <c r="E2" s="58">
        <v>391600</v>
      </c>
    </row>
    <row r="3" spans="1:5">
      <c r="A3" s="18" t="s">
        <v>398</v>
      </c>
      <c r="B3" s="18" t="s">
        <v>505</v>
      </c>
      <c r="C3" s="19" t="s">
        <v>429</v>
      </c>
      <c r="D3" s="57">
        <v>25</v>
      </c>
      <c r="E3" s="58">
        <v>107600</v>
      </c>
    </row>
    <row r="4" spans="1:5">
      <c r="A4" s="18" t="s">
        <v>398</v>
      </c>
      <c r="B4" s="18" t="s">
        <v>508</v>
      </c>
      <c r="C4" s="19" t="s">
        <v>423</v>
      </c>
      <c r="D4" s="57">
        <v>58</v>
      </c>
      <c r="E4" s="58">
        <v>283800</v>
      </c>
    </row>
    <row r="5" spans="1:5">
      <c r="A5" s="18" t="s">
        <v>398</v>
      </c>
      <c r="B5" s="18" t="s">
        <v>506</v>
      </c>
      <c r="C5" s="19" t="s">
        <v>423</v>
      </c>
      <c r="D5" s="57">
        <v>39</v>
      </c>
      <c r="E5" s="58">
        <v>226700</v>
      </c>
    </row>
    <row r="6" spans="1:5">
      <c r="A6" s="18" t="s">
        <v>398</v>
      </c>
      <c r="B6" s="18" t="s">
        <v>507</v>
      </c>
      <c r="C6" s="19" t="s">
        <v>423</v>
      </c>
      <c r="D6" s="57">
        <v>35</v>
      </c>
      <c r="E6" s="58">
        <v>507200</v>
      </c>
    </row>
    <row r="7" spans="1:5">
      <c r="A7" s="18" t="s">
        <v>397</v>
      </c>
      <c r="B7" s="18" t="s">
        <v>504</v>
      </c>
      <c r="C7" s="19" t="s">
        <v>429</v>
      </c>
      <c r="D7" s="57">
        <v>29</v>
      </c>
      <c r="E7" s="58">
        <v>154200</v>
      </c>
    </row>
    <row r="8" spans="1:5">
      <c r="A8" s="18" t="s">
        <v>397</v>
      </c>
      <c r="B8" s="18" t="s">
        <v>505</v>
      </c>
      <c r="C8" s="19" t="s">
        <v>429</v>
      </c>
      <c r="D8" s="57">
        <v>52</v>
      </c>
      <c r="E8" s="58">
        <v>233800</v>
      </c>
    </row>
    <row r="9" spans="1:5">
      <c r="A9" s="18" t="s">
        <v>397</v>
      </c>
      <c r="B9" s="18" t="s">
        <v>508</v>
      </c>
      <c r="C9" s="19" t="s">
        <v>423</v>
      </c>
      <c r="D9" s="57">
        <v>44</v>
      </c>
      <c r="E9" s="58">
        <v>558400</v>
      </c>
    </row>
    <row r="10" spans="1:5">
      <c r="A10" s="18" t="s">
        <v>397</v>
      </c>
      <c r="B10" s="18" t="s">
        <v>506</v>
      </c>
      <c r="C10" s="19" t="s">
        <v>423</v>
      </c>
      <c r="D10" s="57">
        <v>46</v>
      </c>
      <c r="E10" s="58">
        <v>350400</v>
      </c>
    </row>
    <row r="11" spans="1:5">
      <c r="A11" s="18" t="s">
        <v>397</v>
      </c>
      <c r="B11" s="18" t="s">
        <v>507</v>
      </c>
      <c r="C11" s="19" t="s">
        <v>423</v>
      </c>
      <c r="D11" s="57">
        <v>74</v>
      </c>
      <c r="E11" s="58">
        <v>411800</v>
      </c>
    </row>
    <row r="12" spans="1:5">
      <c r="A12" s="18" t="s">
        <v>396</v>
      </c>
      <c r="B12" s="18" t="s">
        <v>504</v>
      </c>
      <c r="C12" s="19" t="s">
        <v>429</v>
      </c>
      <c r="D12" s="57">
        <v>14</v>
      </c>
      <c r="E12" s="58">
        <v>162200</v>
      </c>
    </row>
    <row r="13" spans="1:5">
      <c r="A13" s="18" t="s">
        <v>396</v>
      </c>
      <c r="B13" s="18" t="s">
        <v>505</v>
      </c>
      <c r="C13" s="19" t="s">
        <v>429</v>
      </c>
      <c r="D13" s="57">
        <v>36</v>
      </c>
      <c r="E13" s="58">
        <v>134300</v>
      </c>
    </row>
    <row r="14" spans="1:5">
      <c r="A14" s="18" t="s">
        <v>396</v>
      </c>
      <c r="B14" s="18" t="s">
        <v>508</v>
      </c>
      <c r="C14" s="19" t="s">
        <v>423</v>
      </c>
      <c r="D14" s="57">
        <v>30</v>
      </c>
      <c r="E14" s="58">
        <v>353100</v>
      </c>
    </row>
    <row r="15" spans="1:5">
      <c r="A15" s="18" t="s">
        <v>396</v>
      </c>
      <c r="B15" s="18" t="s">
        <v>506</v>
      </c>
      <c r="C15" s="19" t="s">
        <v>423</v>
      </c>
      <c r="D15" s="57">
        <v>44</v>
      </c>
      <c r="E15" s="58">
        <v>532100</v>
      </c>
    </row>
    <row r="16" spans="1:5">
      <c r="A16" s="18" t="s">
        <v>396</v>
      </c>
      <c r="B16" s="18" t="s">
        <v>507</v>
      </c>
      <c r="C16" s="19" t="s">
        <v>423</v>
      </c>
      <c r="D16" s="57">
        <v>57</v>
      </c>
      <c r="E16" s="58">
        <v>258400</v>
      </c>
    </row>
    <row r="17" spans="1:5">
      <c r="A17" s="17"/>
      <c r="C17" s="14"/>
      <c r="D17" s="43"/>
      <c r="E17" s="43"/>
    </row>
    <row r="18" spans="1:5">
      <c r="B18" s="267" t="s">
        <v>850</v>
      </c>
      <c r="C18" s="266" t="s">
        <v>849</v>
      </c>
      <c r="D18" s="266" t="s">
        <v>848</v>
      </c>
    </row>
    <row r="19" spans="1:5">
      <c r="B19" s="14" t="s">
        <v>834</v>
      </c>
      <c r="C19" s="14" t="s">
        <v>838</v>
      </c>
      <c r="D19" s="14" t="s">
        <v>839</v>
      </c>
    </row>
    <row r="20" spans="1:5">
      <c r="B20" s="14" t="s">
        <v>835</v>
      </c>
      <c r="C20" s="14" t="s">
        <v>777</v>
      </c>
      <c r="D20" s="14" t="s">
        <v>778</v>
      </c>
    </row>
    <row r="21" spans="1:5">
      <c r="B21" s="14" t="s">
        <v>836</v>
      </c>
      <c r="C21" s="14" t="s">
        <v>840</v>
      </c>
      <c r="D21" s="14" t="s">
        <v>841</v>
      </c>
    </row>
    <row r="22" spans="1:5">
      <c r="B22" s="14" t="s">
        <v>837</v>
      </c>
      <c r="C22" s="14" t="s">
        <v>842</v>
      </c>
      <c r="D22" s="14" t="s">
        <v>778</v>
      </c>
    </row>
    <row r="24" spans="1:5">
      <c r="B24" s="267" t="s">
        <v>843</v>
      </c>
      <c r="C24" s="266" t="s">
        <v>848</v>
      </c>
      <c r="D24" s="267" t="s">
        <v>849</v>
      </c>
    </row>
    <row r="25" spans="1:5">
      <c r="B25" s="14" t="s">
        <v>844</v>
      </c>
      <c r="C25" s="14" t="s">
        <v>839</v>
      </c>
      <c r="D25" s="14" t="s">
        <v>838</v>
      </c>
    </row>
    <row r="26" spans="1:5">
      <c r="B26" s="14" t="s">
        <v>845</v>
      </c>
      <c r="C26" s="14" t="s">
        <v>778</v>
      </c>
      <c r="D26" s="14" t="s">
        <v>777</v>
      </c>
    </row>
    <row r="27" spans="1:5">
      <c r="B27" s="14" t="s">
        <v>846</v>
      </c>
      <c r="C27" s="14" t="s">
        <v>841</v>
      </c>
      <c r="D27" s="14" t="s">
        <v>840</v>
      </c>
    </row>
    <row r="28" spans="1:5">
      <c r="B28" s="14" t="s">
        <v>847</v>
      </c>
      <c r="C28" s="14" t="s">
        <v>778</v>
      </c>
      <c r="D28" s="14" t="s">
        <v>842</v>
      </c>
    </row>
  </sheetData>
  <sortState xmlns:xlrd2="http://schemas.microsoft.com/office/spreadsheetml/2017/richdata2" ref="A2:E16">
    <sortCondition ref="A2:A16" customList="Jan,Feb,Mar,Apr,May,Jun,Jul,Aug,Sep,Oct,Nov,Dec"/>
  </sortState>
  <customSheetViews>
    <customSheetView guid="{BBE43EB8-AC5B-419E-90E4-72D0C525AF66}" scale="160">
      <selection activeCell="E7" sqref="E7"/>
      <pageMargins left="0.75" right="0.75" top="1" bottom="1" header="0.5" footer="0.5"/>
      <headerFooter alignWithMargins="0"/>
    </customSheetView>
  </customSheetViews>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68F76-A111-4649-B1B7-ADC5663BAEB4}">
  <sheetPr codeName="Sheet34"/>
  <dimension ref="A1:G15"/>
  <sheetViews>
    <sheetView topLeftCell="A4" zoomScale="120" zoomScaleNormal="120" workbookViewId="0">
      <selection activeCell="M13" sqref="M13"/>
    </sheetView>
  </sheetViews>
  <sheetFormatPr defaultColWidth="8.77734375" defaultRowHeight="15"/>
  <cols>
    <col min="1" max="1" width="10" style="61" customWidth="1"/>
    <col min="2" max="2" width="12.44140625" style="61" customWidth="1"/>
    <col min="3" max="3" width="15" style="61" customWidth="1"/>
    <col min="4" max="4" width="13.88671875" style="61" customWidth="1"/>
    <col min="5" max="5" width="12.33203125" style="61" customWidth="1"/>
    <col min="6" max="6" width="8.77734375" style="61"/>
    <col min="7" max="7" width="11.21875" style="61" customWidth="1"/>
    <col min="8" max="8" width="8.77734375" style="61"/>
    <col min="9" max="9" width="15.21875" style="61" customWidth="1"/>
    <col min="10" max="16384" width="8.77734375" style="61"/>
  </cols>
  <sheetData>
    <row r="1" spans="1:7" s="60" customFormat="1" ht="15.75">
      <c r="A1" s="132" t="s">
        <v>692</v>
      </c>
      <c r="B1" s="132" t="s">
        <v>693</v>
      </c>
      <c r="C1" s="132" t="s">
        <v>694</v>
      </c>
      <c r="D1" s="132" t="s">
        <v>695</v>
      </c>
      <c r="E1" s="132" t="s">
        <v>696</v>
      </c>
    </row>
    <row r="2" spans="1:7">
      <c r="A2" s="134" t="s">
        <v>697</v>
      </c>
      <c r="B2" s="134" t="s">
        <v>700</v>
      </c>
      <c r="C2" s="134" t="s">
        <v>704</v>
      </c>
      <c r="D2" s="134" t="s">
        <v>707</v>
      </c>
      <c r="E2" s="134" t="s">
        <v>709</v>
      </c>
    </row>
    <row r="3" spans="1:7" ht="15.75">
      <c r="A3" s="134" t="s">
        <v>698</v>
      </c>
      <c r="B3" s="134" t="s">
        <v>701</v>
      </c>
      <c r="C3" s="134" t="s">
        <v>705</v>
      </c>
      <c r="D3" s="134" t="s">
        <v>708</v>
      </c>
      <c r="E3" s="134" t="s">
        <v>710</v>
      </c>
      <c r="G3" s="60"/>
    </row>
    <row r="4" spans="1:7">
      <c r="A4" s="134" t="s">
        <v>699</v>
      </c>
      <c r="B4" s="134" t="s">
        <v>702</v>
      </c>
      <c r="C4" s="134" t="s">
        <v>706</v>
      </c>
      <c r="D4" s="134"/>
      <c r="E4" s="134" t="s">
        <v>711</v>
      </c>
    </row>
    <row r="5" spans="1:7">
      <c r="A5" s="134"/>
      <c r="B5" s="134" t="s">
        <v>703</v>
      </c>
      <c r="C5" s="134"/>
      <c r="D5" s="134"/>
      <c r="E5" s="134" t="s">
        <v>712</v>
      </c>
    </row>
    <row r="6" spans="1:7" ht="15.75">
      <c r="A6" s="134"/>
      <c r="B6" s="134"/>
      <c r="C6" s="134"/>
      <c r="D6" s="134"/>
      <c r="E6" s="134" t="s">
        <v>713</v>
      </c>
      <c r="G6" s="60"/>
    </row>
    <row r="8" spans="1:7">
      <c r="C8"/>
      <c r="D8"/>
      <c r="E8"/>
    </row>
    <row r="9" spans="1:7" ht="15.75">
      <c r="C9" s="62" t="s">
        <v>714</v>
      </c>
      <c r="D9" s="62" t="s">
        <v>767</v>
      </c>
      <c r="E9"/>
    </row>
    <row r="10" spans="1:7">
      <c r="C10" s="63" t="s">
        <v>696</v>
      </c>
      <c r="D10" s="63" t="s">
        <v>713</v>
      </c>
    </row>
    <row r="12" spans="1:7">
      <c r="C12"/>
      <c r="D12"/>
    </row>
    <row r="13" spans="1:7" ht="15.75">
      <c r="C13" s="62" t="s">
        <v>714</v>
      </c>
      <c r="D13" s="62" t="s">
        <v>767</v>
      </c>
    </row>
    <row r="14" spans="1:7">
      <c r="C14" t="s">
        <v>696</v>
      </c>
      <c r="D14" t="s">
        <v>711</v>
      </c>
    </row>
    <row r="15" spans="1:7">
      <c r="C15"/>
      <c r="D15"/>
    </row>
  </sheetData>
  <dataValidations count="5">
    <dataValidation type="list" allowBlank="1" showInputMessage="1" showErrorMessage="1" sqref="C10" xr:uid="{4BA740C7-56C5-4BD2-A735-1D50A6DA0672}">
      <formula1>Columns</formula1>
    </dataValidation>
    <dataValidation type="list" allowBlank="1" showInputMessage="1" showErrorMessage="1" sqref="D10" xr:uid="{95FAC8D4-9FFA-49DC-B1CB-F9E6BAB1E5A1}">
      <formula1>INDIRECT($C$10)</formula1>
    </dataValidation>
    <dataValidation type="list" allowBlank="1" showInputMessage="1" showErrorMessage="1" sqref="C14" xr:uid="{67CCD667-6E21-4A23-AAB4-CC58530A9095}">
      <formula1>Col</formula1>
    </dataValidation>
    <dataValidation type="list" allowBlank="1" showInputMessage="1" showErrorMessage="1" sqref="C13" xr:uid="{27292A9B-B20C-4A9F-9D2B-DAB074C648D8}">
      <formula1>"Column"</formula1>
    </dataValidation>
    <dataValidation type="list" allowBlank="1" showInputMessage="1" showErrorMessage="1" sqref="D14" xr:uid="{AA03732F-D354-4FFD-A11B-CCA3855008C5}">
      <formula1>INDIRECT($C$14)</formula1>
    </dataValidation>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D42C2-D21E-4A47-AD27-4A7184C3FC3D}">
  <sheetPr codeName="Sheet35"/>
  <dimension ref="A1:K19"/>
  <sheetViews>
    <sheetView zoomScale="120" zoomScaleNormal="120" workbookViewId="0">
      <selection activeCell="A2" sqref="A2:A10"/>
    </sheetView>
  </sheetViews>
  <sheetFormatPr defaultRowHeight="15"/>
  <cols>
    <col min="1" max="1" width="9.88671875" customWidth="1"/>
    <col min="2" max="3" width="8.77734375" style="61"/>
    <col min="4" max="4" width="10.6640625" style="61" customWidth="1"/>
    <col min="5" max="5" width="11.21875" style="61" customWidth="1"/>
    <col min="6" max="6" width="9.5546875" style="61" customWidth="1"/>
    <col min="7" max="7" width="9" style="61" customWidth="1"/>
    <col min="8" max="8" width="11.21875" style="61" customWidth="1"/>
    <col min="10" max="10" width="11" customWidth="1"/>
  </cols>
  <sheetData>
    <row r="1" spans="1:11" s="59" customFormat="1" ht="15.75">
      <c r="A1" s="66" t="s">
        <v>37</v>
      </c>
      <c r="B1" s="67" t="s">
        <v>94</v>
      </c>
      <c r="C1" s="67" t="s">
        <v>97</v>
      </c>
      <c r="D1" s="68" t="s">
        <v>96</v>
      </c>
      <c r="E1" s="67" t="s">
        <v>95</v>
      </c>
      <c r="F1" s="67" t="s">
        <v>93</v>
      </c>
      <c r="G1" s="67" t="s">
        <v>715</v>
      </c>
      <c r="H1" s="67" t="s">
        <v>722</v>
      </c>
    </row>
    <row r="2" spans="1:11" ht="15.75">
      <c r="A2" s="65" t="s">
        <v>703</v>
      </c>
      <c r="B2" s="63">
        <v>24</v>
      </c>
      <c r="C2" s="63">
        <v>29</v>
      </c>
      <c r="D2" s="63">
        <v>56</v>
      </c>
      <c r="E2" s="63">
        <v>25</v>
      </c>
      <c r="F2" s="63">
        <v>22</v>
      </c>
      <c r="G2" s="63">
        <v>38</v>
      </c>
      <c r="H2" s="63">
        <v>50</v>
      </c>
      <c r="J2" s="311" t="s">
        <v>731</v>
      </c>
      <c r="K2" s="312"/>
    </row>
    <row r="3" spans="1:11">
      <c r="A3" s="65" t="s">
        <v>698</v>
      </c>
      <c r="B3" s="63">
        <v>69</v>
      </c>
      <c r="C3" s="63">
        <v>28</v>
      </c>
      <c r="D3" s="63">
        <v>48</v>
      </c>
      <c r="E3" s="63">
        <v>23</v>
      </c>
      <c r="F3" s="63">
        <v>40</v>
      </c>
      <c r="G3" s="63">
        <v>32</v>
      </c>
      <c r="H3" s="63">
        <v>78</v>
      </c>
      <c r="J3" s="63" t="s">
        <v>723</v>
      </c>
      <c r="K3" s="63" t="s">
        <v>724</v>
      </c>
    </row>
    <row r="4" spans="1:11">
      <c r="A4" s="65" t="s">
        <v>716</v>
      </c>
      <c r="B4" s="63">
        <v>69</v>
      </c>
      <c r="C4" s="63">
        <v>98</v>
      </c>
      <c r="D4" s="63">
        <v>59</v>
      </c>
      <c r="E4" s="63">
        <v>54</v>
      </c>
      <c r="F4" s="63">
        <v>93</v>
      </c>
      <c r="G4" s="63">
        <v>77</v>
      </c>
      <c r="H4" s="63">
        <v>79</v>
      </c>
      <c r="J4" s="63" t="s">
        <v>725</v>
      </c>
      <c r="K4" s="63" t="s">
        <v>726</v>
      </c>
    </row>
    <row r="5" spans="1:11">
      <c r="A5" s="65" t="s">
        <v>717</v>
      </c>
      <c r="B5" s="63">
        <v>61</v>
      </c>
      <c r="C5" s="63">
        <v>98</v>
      </c>
      <c r="D5" s="63">
        <v>33</v>
      </c>
      <c r="E5" s="63">
        <v>20</v>
      </c>
      <c r="F5" s="63">
        <v>26</v>
      </c>
      <c r="G5" s="63">
        <v>100</v>
      </c>
      <c r="H5" s="63">
        <v>21</v>
      </c>
      <c r="J5" s="63" t="s">
        <v>727</v>
      </c>
      <c r="K5" s="63" t="s">
        <v>728</v>
      </c>
    </row>
    <row r="6" spans="1:11">
      <c r="A6" s="65" t="s">
        <v>703</v>
      </c>
      <c r="B6" s="63">
        <v>48</v>
      </c>
      <c r="C6" s="63">
        <v>57</v>
      </c>
      <c r="D6" s="63">
        <v>36</v>
      </c>
      <c r="E6" s="63">
        <v>34</v>
      </c>
      <c r="F6" s="63">
        <v>53</v>
      </c>
      <c r="G6" s="63">
        <v>91</v>
      </c>
      <c r="H6" s="63">
        <v>73</v>
      </c>
      <c r="J6" s="63" t="s">
        <v>729</v>
      </c>
      <c r="K6" s="63" t="s">
        <v>730</v>
      </c>
    </row>
    <row r="7" spans="1:11">
      <c r="A7" s="65" t="s">
        <v>718</v>
      </c>
      <c r="B7" s="63">
        <v>32</v>
      </c>
      <c r="C7" s="63">
        <v>71</v>
      </c>
      <c r="D7" s="63">
        <v>99</v>
      </c>
      <c r="E7" s="63">
        <v>51</v>
      </c>
      <c r="F7" s="63">
        <v>100</v>
      </c>
      <c r="G7" s="63">
        <v>63</v>
      </c>
      <c r="H7" s="63">
        <v>48</v>
      </c>
    </row>
    <row r="8" spans="1:11">
      <c r="A8" s="65" t="s">
        <v>719</v>
      </c>
      <c r="B8" s="63">
        <v>97</v>
      </c>
      <c r="C8" s="63">
        <v>39</v>
      </c>
      <c r="D8" s="63">
        <v>92</v>
      </c>
      <c r="E8" s="63">
        <v>61</v>
      </c>
      <c r="F8" s="63">
        <v>46</v>
      </c>
      <c r="G8" s="63">
        <v>20</v>
      </c>
      <c r="H8" s="63">
        <v>54</v>
      </c>
    </row>
    <row r="9" spans="1:11">
      <c r="A9" s="65" t="s">
        <v>720</v>
      </c>
      <c r="B9" s="63">
        <v>90</v>
      </c>
      <c r="C9" s="63">
        <v>49</v>
      </c>
      <c r="D9" s="63">
        <v>36</v>
      </c>
      <c r="E9" s="63">
        <v>20</v>
      </c>
      <c r="F9" s="63">
        <v>20</v>
      </c>
      <c r="G9" s="63">
        <v>29</v>
      </c>
      <c r="H9" s="63">
        <v>62</v>
      </c>
    </row>
    <row r="10" spans="1:11">
      <c r="A10" s="65" t="s">
        <v>721</v>
      </c>
      <c r="B10" s="63">
        <v>88</v>
      </c>
      <c r="C10" s="63">
        <v>26</v>
      </c>
      <c r="D10" s="63">
        <v>47</v>
      </c>
      <c r="E10" s="63">
        <v>60</v>
      </c>
      <c r="F10" s="63">
        <v>71</v>
      </c>
      <c r="G10" s="63">
        <v>45</v>
      </c>
      <c r="H10" s="63">
        <v>72</v>
      </c>
    </row>
    <row r="13" spans="1:11" ht="15.75">
      <c r="D13" s="72" t="s">
        <v>732</v>
      </c>
      <c r="E13" s="71" t="s">
        <v>737</v>
      </c>
    </row>
    <row r="14" spans="1:11" ht="15.75">
      <c r="D14" s="70" t="s">
        <v>440</v>
      </c>
      <c r="E14" s="69">
        <v>12</v>
      </c>
      <c r="G14" s="309" t="s">
        <v>731</v>
      </c>
      <c r="H14" s="310"/>
    </row>
    <row r="15" spans="1:11">
      <c r="D15" s="70" t="s">
        <v>424</v>
      </c>
      <c r="E15" s="69">
        <v>-6</v>
      </c>
      <c r="F15"/>
      <c r="G15" s="69" t="s">
        <v>496</v>
      </c>
      <c r="H15" s="69" t="s">
        <v>730</v>
      </c>
    </row>
    <row r="16" spans="1:11">
      <c r="D16" s="70" t="s">
        <v>442</v>
      </c>
      <c r="E16" s="69">
        <v>20</v>
      </c>
      <c r="F16"/>
      <c r="G16" s="69" t="s">
        <v>736</v>
      </c>
      <c r="H16" s="69" t="s">
        <v>724</v>
      </c>
    </row>
    <row r="17" spans="4:5">
      <c r="D17" s="70" t="s">
        <v>733</v>
      </c>
      <c r="E17" s="69">
        <v>45</v>
      </c>
    </row>
    <row r="18" spans="4:5">
      <c r="D18" s="70" t="s">
        <v>734</v>
      </c>
      <c r="E18" s="69">
        <v>-60</v>
      </c>
    </row>
    <row r="19" spans="4:5">
      <c r="D19" s="70" t="s">
        <v>735</v>
      </c>
      <c r="E19" s="69">
        <v>500</v>
      </c>
    </row>
  </sheetData>
  <mergeCells count="2">
    <mergeCell ref="G14:H14"/>
    <mergeCell ref="J2:K2"/>
  </mergeCells>
  <conditionalFormatting sqref="D13:E19">
    <cfRule type="cellIs" dxfId="18" priority="17" operator="lessThan">
      <formula>0</formula>
    </cfRule>
  </conditionalFormatting>
  <conditionalFormatting sqref="E14:E19">
    <cfRule type="cellIs" dxfId="17" priority="16" operator="greaterThan">
      <formula>0</formula>
    </cfRule>
  </conditionalFormatting>
  <conditionalFormatting sqref="A2:A10">
    <cfRule type="expression" dxfId="16" priority="1">
      <formula xml:space="preserve"> LEFT($A2,1)="R"</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15" id="{7E3373E5-A9C8-4E2B-AE22-B9BE52621698}">
            <x14:iconSet custom="1">
              <x14:cfvo type="percent">
                <xm:f>0</xm:f>
              </x14:cfvo>
              <x14:cfvo type="num">
                <xm:f>0</xm:f>
              </x14:cfvo>
              <x14:cfvo type="num" gte="0">
                <xm:f>0</xm:f>
              </x14:cfvo>
              <x14:cfIcon iconSet="3TrafficLights1" iconId="0"/>
              <x14:cfIcon iconSet="3Triangles" iconId="0"/>
              <x14:cfIcon iconSet="3Triangles" iconId="2"/>
            </x14:iconSet>
          </x14:cfRule>
          <x14:cfRule type="iconSet" priority="14" id="{B797115B-0841-45F2-8707-1000EA349F2C}">
            <x14:iconSet custom="1">
              <x14:cfvo type="percent">
                <xm:f>0</xm:f>
              </x14:cfvo>
              <x14:cfvo type="num">
                <xm:f>0</xm:f>
              </x14:cfvo>
              <x14:cfvo type="num" gte="0">
                <xm:f>0</xm:f>
              </x14:cfvo>
              <x14:cfIcon iconSet="3TrafficLights1" iconId="0"/>
              <x14:cfIcon iconSet="3Triangles" iconId="0"/>
              <x14:cfIcon iconSet="3Triangles" iconId="2"/>
            </x14:iconSet>
          </x14:cfRule>
          <x14:cfRule type="iconSet" priority="13" id="{A4C8A170-BD5A-4114-98BC-94F07DD5BF0B}">
            <x14:iconSet custom="1">
              <x14:cfvo type="percent">
                <xm:f>0</xm:f>
              </x14:cfvo>
              <x14:cfvo type="num">
                <xm:f>0</xm:f>
              </x14:cfvo>
              <x14:cfvo type="num" gte="0">
                <xm:f>0</xm:f>
              </x14:cfvo>
              <x14:cfIcon iconSet="3Triangles" iconId="2"/>
              <x14:cfIcon iconSet="3TrafficLights1" iconId="1"/>
              <x14:cfIcon iconSet="3Triangles" iconId="0"/>
            </x14:iconSet>
          </x14:cfRule>
          <x14:cfRule type="iconSet" priority="12" id="{5FF8446C-4DE7-4433-B2BC-7AB9B9D25C7F}">
            <x14:iconSet custom="1">
              <x14:cfvo type="percent">
                <xm:f>0</xm:f>
              </x14:cfvo>
              <x14:cfvo type="num">
                <xm:f>0</xm:f>
              </x14:cfvo>
              <x14:cfvo type="num" gte="0">
                <xm:f>0</xm:f>
              </x14:cfvo>
              <x14:cfIcon iconSet="3Triangles" iconId="0"/>
              <x14:cfIcon iconSet="3TrafficLights1" iconId="1"/>
              <x14:cfIcon iconSet="3Triangles" iconId="2"/>
            </x14:iconSet>
          </x14:cfRule>
          <xm:sqref>E14:E19</xm:sqref>
        </x14:conditionalFormatting>
      </x14:conditionalFormatting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3AF17-F8E0-4A4E-A95A-051BE0F2996C}">
  <sheetPr codeName="Sheet36"/>
  <dimension ref="A1:B31"/>
  <sheetViews>
    <sheetView zoomScale="120" zoomScaleNormal="120" workbookViewId="0">
      <selection activeCell="C12" sqref="C12"/>
    </sheetView>
  </sheetViews>
  <sheetFormatPr defaultColWidth="8.77734375" defaultRowHeight="15"/>
  <cols>
    <col min="1" max="1" width="18.88671875" style="248" customWidth="1"/>
    <col min="2" max="2" width="15.109375" style="61" customWidth="1"/>
    <col min="3" max="16384" width="8.77734375" style="61"/>
  </cols>
  <sheetData>
    <row r="1" spans="1:2" s="60" customFormat="1" ht="19.899999999999999" customHeight="1">
      <c r="A1" s="268" t="s">
        <v>519</v>
      </c>
      <c r="B1" s="208" t="s">
        <v>573</v>
      </c>
    </row>
    <row r="2" spans="1:2">
      <c r="A2" s="102">
        <v>44652</v>
      </c>
      <c r="B2" s="63" t="str">
        <f>TEXT(A2,"DDDD")</f>
        <v>Friday</v>
      </c>
    </row>
    <row r="3" spans="1:2">
      <c r="A3" s="102">
        <v>44653</v>
      </c>
      <c r="B3" s="63" t="str">
        <f t="shared" ref="B3:B31" si="0">TEXT(A3,"DDDD")</f>
        <v>Saturday</v>
      </c>
    </row>
    <row r="4" spans="1:2">
      <c r="A4" s="102">
        <v>44654</v>
      </c>
      <c r="B4" s="63" t="str">
        <f t="shared" si="0"/>
        <v>Sunday</v>
      </c>
    </row>
    <row r="5" spans="1:2">
      <c r="A5" s="102">
        <v>44655</v>
      </c>
      <c r="B5" s="63" t="str">
        <f t="shared" si="0"/>
        <v>Monday</v>
      </c>
    </row>
    <row r="6" spans="1:2">
      <c r="A6" s="102">
        <v>44656</v>
      </c>
      <c r="B6" s="63" t="str">
        <f t="shared" si="0"/>
        <v>Tuesday</v>
      </c>
    </row>
    <row r="7" spans="1:2">
      <c r="A7" s="102">
        <v>44657</v>
      </c>
      <c r="B7" s="63" t="str">
        <f t="shared" si="0"/>
        <v>Wednesday</v>
      </c>
    </row>
    <row r="8" spans="1:2">
      <c r="A8" s="102">
        <v>44658</v>
      </c>
      <c r="B8" s="63" t="str">
        <f t="shared" si="0"/>
        <v>Thursday</v>
      </c>
    </row>
    <row r="9" spans="1:2">
      <c r="A9" s="102">
        <v>44659</v>
      </c>
      <c r="B9" s="63" t="str">
        <f t="shared" si="0"/>
        <v>Friday</v>
      </c>
    </row>
    <row r="10" spans="1:2">
      <c r="A10" s="102">
        <v>44660</v>
      </c>
      <c r="B10" s="63" t="str">
        <f t="shared" si="0"/>
        <v>Saturday</v>
      </c>
    </row>
    <row r="11" spans="1:2">
      <c r="A11" s="102">
        <v>44661</v>
      </c>
      <c r="B11" s="63" t="str">
        <f t="shared" si="0"/>
        <v>Sunday</v>
      </c>
    </row>
    <row r="12" spans="1:2">
      <c r="A12" s="102">
        <v>44662</v>
      </c>
      <c r="B12" s="63" t="str">
        <f t="shared" si="0"/>
        <v>Monday</v>
      </c>
    </row>
    <row r="13" spans="1:2">
      <c r="A13" s="102">
        <v>44663</v>
      </c>
      <c r="B13" s="63" t="str">
        <f t="shared" si="0"/>
        <v>Tuesday</v>
      </c>
    </row>
    <row r="14" spans="1:2">
      <c r="A14" s="102">
        <v>44664</v>
      </c>
      <c r="B14" s="63" t="str">
        <f t="shared" si="0"/>
        <v>Wednesday</v>
      </c>
    </row>
    <row r="15" spans="1:2">
      <c r="A15" s="102">
        <v>44665</v>
      </c>
      <c r="B15" s="63" t="str">
        <f t="shared" si="0"/>
        <v>Thursday</v>
      </c>
    </row>
    <row r="16" spans="1:2">
      <c r="A16" s="102">
        <v>44666</v>
      </c>
      <c r="B16" s="63" t="str">
        <f t="shared" si="0"/>
        <v>Friday</v>
      </c>
    </row>
    <row r="17" spans="1:2">
      <c r="A17" s="102">
        <v>44667</v>
      </c>
      <c r="B17" s="63" t="str">
        <f t="shared" si="0"/>
        <v>Saturday</v>
      </c>
    </row>
    <row r="18" spans="1:2">
      <c r="A18" s="102">
        <v>44668</v>
      </c>
      <c r="B18" s="63" t="str">
        <f t="shared" si="0"/>
        <v>Sunday</v>
      </c>
    </row>
    <row r="19" spans="1:2">
      <c r="A19" s="102">
        <v>44669</v>
      </c>
      <c r="B19" s="63" t="str">
        <f t="shared" si="0"/>
        <v>Monday</v>
      </c>
    </row>
    <row r="20" spans="1:2">
      <c r="A20" s="102">
        <v>44670</v>
      </c>
      <c r="B20" s="63" t="str">
        <f t="shared" si="0"/>
        <v>Tuesday</v>
      </c>
    </row>
    <row r="21" spans="1:2">
      <c r="A21" s="102">
        <v>44671</v>
      </c>
      <c r="B21" s="63" t="str">
        <f t="shared" si="0"/>
        <v>Wednesday</v>
      </c>
    </row>
    <row r="22" spans="1:2">
      <c r="A22" s="102">
        <v>44672</v>
      </c>
      <c r="B22" s="63" t="str">
        <f t="shared" si="0"/>
        <v>Thursday</v>
      </c>
    </row>
    <row r="23" spans="1:2">
      <c r="A23" s="102">
        <v>44673</v>
      </c>
      <c r="B23" s="63" t="str">
        <f t="shared" si="0"/>
        <v>Friday</v>
      </c>
    </row>
    <row r="24" spans="1:2">
      <c r="A24" s="102">
        <v>44674</v>
      </c>
      <c r="B24" s="63" t="str">
        <f t="shared" si="0"/>
        <v>Saturday</v>
      </c>
    </row>
    <row r="25" spans="1:2">
      <c r="A25" s="102">
        <v>44675</v>
      </c>
      <c r="B25" s="63" t="str">
        <f t="shared" si="0"/>
        <v>Sunday</v>
      </c>
    </row>
    <row r="26" spans="1:2">
      <c r="A26" s="102">
        <v>44676</v>
      </c>
      <c r="B26" s="63" t="str">
        <f t="shared" si="0"/>
        <v>Monday</v>
      </c>
    </row>
    <row r="27" spans="1:2">
      <c r="A27" s="102">
        <v>44677</v>
      </c>
      <c r="B27" s="63" t="str">
        <f t="shared" si="0"/>
        <v>Tuesday</v>
      </c>
    </row>
    <row r="28" spans="1:2">
      <c r="A28" s="102">
        <v>44678</v>
      </c>
      <c r="B28" s="63" t="str">
        <f t="shared" si="0"/>
        <v>Wednesday</v>
      </c>
    </row>
    <row r="29" spans="1:2">
      <c r="A29" s="102">
        <v>44679</v>
      </c>
      <c r="B29" s="63" t="str">
        <f t="shared" si="0"/>
        <v>Thursday</v>
      </c>
    </row>
    <row r="30" spans="1:2">
      <c r="A30" s="102">
        <v>44680</v>
      </c>
      <c r="B30" s="63" t="str">
        <f t="shared" si="0"/>
        <v>Friday</v>
      </c>
    </row>
    <row r="31" spans="1:2">
      <c r="A31" s="102">
        <v>44681</v>
      </c>
      <c r="B31" s="63" t="str">
        <f t="shared" si="0"/>
        <v>Saturday</v>
      </c>
    </row>
  </sheetData>
  <conditionalFormatting sqref="A2:A31">
    <cfRule type="expression" priority="4">
      <formula xml:space="preserve"> TEXT($A4,"DDDD" ="Saturday")</formula>
    </cfRule>
    <cfRule type="expression" dxfId="15" priority="3">
      <formula xml:space="preserve"> TEXT($A2, "DDDD") ="Sunday"</formula>
    </cfRule>
  </conditionalFormatting>
  <conditionalFormatting sqref="A2:B31">
    <cfRule type="expression" dxfId="14" priority="2">
      <formula>TEXT($A2,"DDDD")="Saturday"</formula>
    </cfRule>
    <cfRule type="expression" dxfId="13" priority="1">
      <formula>TEXT($A2,"DDDD")="Sunday"</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54E44-706D-48BC-B708-47486634D56C}">
  <sheetPr codeName="Sheet38"/>
  <dimension ref="A3:C22"/>
  <sheetViews>
    <sheetView zoomScaleNormal="100" workbookViewId="0">
      <selection activeCell="B3" sqref="B3"/>
    </sheetView>
  </sheetViews>
  <sheetFormatPr defaultRowHeight="15"/>
  <cols>
    <col min="1" max="1" width="6.6640625" bestFit="1" customWidth="1"/>
    <col min="2" max="2" width="15.77734375" bestFit="1" customWidth="1"/>
    <col min="3" max="3" width="17.5546875" bestFit="1" customWidth="1"/>
    <col min="5" max="5" width="8.88671875" bestFit="1" customWidth="1"/>
    <col min="6" max="6" width="10.88671875" bestFit="1" customWidth="1"/>
    <col min="7" max="24" width="6" bestFit="1" customWidth="1"/>
    <col min="25" max="32" width="7" bestFit="1" customWidth="1"/>
    <col min="33" max="33" width="10.88671875" bestFit="1" customWidth="1"/>
  </cols>
  <sheetData>
    <row r="3" spans="1:3">
      <c r="A3" s="269" t="s">
        <v>415</v>
      </c>
      <c r="B3" s="269" t="s">
        <v>499</v>
      </c>
      <c r="C3" t="s">
        <v>852</v>
      </c>
    </row>
    <row r="4" spans="1:3">
      <c r="A4" t="s">
        <v>429</v>
      </c>
      <c r="B4" t="s">
        <v>446</v>
      </c>
      <c r="C4" s="272">
        <v>39480</v>
      </c>
    </row>
    <row r="5" spans="1:3">
      <c r="B5" t="s">
        <v>495</v>
      </c>
      <c r="C5" s="272">
        <v>110000</v>
      </c>
    </row>
    <row r="6" spans="1:3">
      <c r="B6" t="s">
        <v>428</v>
      </c>
      <c r="C6" s="272">
        <v>271520</v>
      </c>
    </row>
    <row r="7" spans="1:3">
      <c r="B7" t="s">
        <v>485</v>
      </c>
      <c r="C7" s="272">
        <v>78000</v>
      </c>
    </row>
    <row r="8" spans="1:3">
      <c r="B8" t="s">
        <v>475</v>
      </c>
      <c r="C8" s="272">
        <v>12300</v>
      </c>
    </row>
    <row r="9" spans="1:3">
      <c r="B9" t="s">
        <v>458</v>
      </c>
      <c r="C9" s="272">
        <v>54135</v>
      </c>
    </row>
    <row r="10" spans="1:3">
      <c r="A10" t="s">
        <v>412</v>
      </c>
      <c r="B10" t="s">
        <v>463</v>
      </c>
      <c r="C10" s="272">
        <v>157600</v>
      </c>
    </row>
    <row r="11" spans="1:3">
      <c r="B11" t="s">
        <v>439</v>
      </c>
      <c r="C11" s="272">
        <v>39540</v>
      </c>
    </row>
    <row r="12" spans="1:3">
      <c r="B12" t="s">
        <v>491</v>
      </c>
      <c r="C12" s="272">
        <v>18000</v>
      </c>
    </row>
    <row r="13" spans="1:3">
      <c r="B13" t="s">
        <v>452</v>
      </c>
      <c r="C13" s="272">
        <v>48590</v>
      </c>
    </row>
    <row r="14" spans="1:3">
      <c r="B14" t="s">
        <v>469</v>
      </c>
      <c r="C14" s="272">
        <v>51000</v>
      </c>
    </row>
    <row r="15" spans="1:3">
      <c r="A15" t="s">
        <v>411</v>
      </c>
      <c r="B15" t="s">
        <v>449</v>
      </c>
      <c r="C15" s="272">
        <v>211500</v>
      </c>
    </row>
    <row r="16" spans="1:3">
      <c r="B16" t="s">
        <v>488</v>
      </c>
      <c r="C16" s="272">
        <v>200000</v>
      </c>
    </row>
    <row r="17" spans="1:3">
      <c r="B17" t="s">
        <v>434</v>
      </c>
      <c r="C17" s="272">
        <v>149805</v>
      </c>
    </row>
    <row r="18" spans="1:3">
      <c r="B18" t="s">
        <v>461</v>
      </c>
      <c r="C18" s="272">
        <v>55080</v>
      </c>
    </row>
    <row r="19" spans="1:3">
      <c r="A19" t="s">
        <v>423</v>
      </c>
      <c r="B19" t="s">
        <v>472</v>
      </c>
      <c r="C19" s="272">
        <v>144800</v>
      </c>
    </row>
    <row r="20" spans="1:3">
      <c r="B20" t="s">
        <v>455</v>
      </c>
      <c r="C20" s="272">
        <v>27740</v>
      </c>
    </row>
    <row r="21" spans="1:3">
      <c r="B21" t="s">
        <v>422</v>
      </c>
      <c r="C21" s="272">
        <v>276650</v>
      </c>
    </row>
    <row r="22" spans="1:3">
      <c r="A22" t="s">
        <v>851</v>
      </c>
      <c r="C22" s="272">
        <v>1945740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EC8FC-7C26-4162-9DF1-C67C6608AB20}">
  <sheetPr codeName="Sheet39"/>
  <dimension ref="A1:D8"/>
  <sheetViews>
    <sheetView workbookViewId="0">
      <selection activeCell="E4" sqref="E4"/>
    </sheetView>
  </sheetViews>
  <sheetFormatPr defaultRowHeight="15"/>
  <cols>
    <col min="1" max="1" width="12.77734375" bestFit="1" customWidth="1"/>
    <col min="2" max="2" width="8.109375" bestFit="1" customWidth="1"/>
    <col min="3" max="3" width="11.33203125" bestFit="1" customWidth="1"/>
    <col min="4" max="4" width="6" bestFit="1" customWidth="1"/>
    <col min="5" max="5" width="10.88671875" bestFit="1" customWidth="1"/>
    <col min="6" max="6" width="6" bestFit="1" customWidth="1"/>
  </cols>
  <sheetData>
    <row r="1" spans="1:4">
      <c r="C1" s="65"/>
    </row>
    <row r="2" spans="1:4">
      <c r="A2" s="65"/>
      <c r="B2" s="65"/>
      <c r="C2" s="65"/>
    </row>
    <row r="3" spans="1:4">
      <c r="A3" s="270" t="s">
        <v>415</v>
      </c>
      <c r="B3" s="270" t="s">
        <v>418</v>
      </c>
      <c r="C3" s="65" t="s">
        <v>853</v>
      </c>
      <c r="D3" s="65" t="s">
        <v>854</v>
      </c>
    </row>
    <row r="4" spans="1:4">
      <c r="A4" s="65" t="s">
        <v>429</v>
      </c>
      <c r="B4" s="65" t="s">
        <v>393</v>
      </c>
      <c r="C4" s="271">
        <v>75615</v>
      </c>
      <c r="D4" s="271">
        <v>6084.25</v>
      </c>
    </row>
    <row r="5" spans="1:4">
      <c r="A5" s="65" t="s">
        <v>412</v>
      </c>
      <c r="B5" s="65" t="s">
        <v>393</v>
      </c>
      <c r="C5" s="271">
        <v>12840</v>
      </c>
      <c r="D5" s="271">
        <v>1926</v>
      </c>
    </row>
    <row r="6" spans="1:4">
      <c r="A6" s="65" t="s">
        <v>411</v>
      </c>
      <c r="B6" s="65" t="s">
        <v>393</v>
      </c>
      <c r="C6" s="271">
        <v>157600</v>
      </c>
      <c r="D6" s="271">
        <v>1970</v>
      </c>
    </row>
    <row r="7" spans="1:4">
      <c r="A7" s="65" t="s">
        <v>423</v>
      </c>
      <c r="B7" s="65" t="s">
        <v>393</v>
      </c>
      <c r="C7" s="271">
        <v>17900</v>
      </c>
      <c r="D7" s="271">
        <v>3580</v>
      </c>
    </row>
    <row r="8" spans="1:4">
      <c r="A8" s="65" t="s">
        <v>851</v>
      </c>
      <c r="B8" s="65"/>
      <c r="C8" s="271">
        <v>263955</v>
      </c>
      <c r="D8" s="271">
        <v>13560.25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67573-F779-48FD-A336-4D4CC1F7B4AB}">
  <sheetPr codeName="Sheet40"/>
  <dimension ref="A3:B5"/>
  <sheetViews>
    <sheetView workbookViewId="0">
      <selection activeCell="B5" sqref="B5"/>
    </sheetView>
  </sheetViews>
  <sheetFormatPr defaultRowHeight="15"/>
  <cols>
    <col min="1" max="1" width="12.77734375" bestFit="1" customWidth="1"/>
    <col min="2" max="2" width="17.5546875" bestFit="1" customWidth="1"/>
  </cols>
  <sheetData>
    <row r="3" spans="1:2">
      <c r="A3" s="269" t="s">
        <v>855</v>
      </c>
      <c r="B3" t="s">
        <v>852</v>
      </c>
    </row>
    <row r="4" spans="1:2">
      <c r="A4" s="273" t="s">
        <v>412</v>
      </c>
      <c r="B4" s="239">
        <v>12840</v>
      </c>
    </row>
    <row r="5" spans="1:2">
      <c r="A5" s="273" t="s">
        <v>851</v>
      </c>
      <c r="B5" s="239">
        <v>12840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0"/>
  <dimension ref="A1:N31"/>
  <sheetViews>
    <sheetView topLeftCell="G1" zoomScale="120" zoomScaleNormal="120" workbookViewId="0">
      <selection activeCell="O7" sqref="O7"/>
    </sheetView>
  </sheetViews>
  <sheetFormatPr defaultRowHeight="12.75"/>
  <cols>
    <col min="1" max="1" width="13.5546875" style="43" customWidth="1"/>
    <col min="2" max="2" width="10.44140625" style="14" bestFit="1" customWidth="1"/>
    <col min="3" max="3" width="10.88671875" style="14" bestFit="1" customWidth="1"/>
    <col min="4" max="4" width="8.77734375" style="43" customWidth="1"/>
    <col min="5" max="5" width="8.6640625" style="43" bestFit="1" customWidth="1"/>
    <col min="6" max="6" width="5.109375" style="14" bestFit="1" customWidth="1"/>
    <col min="7" max="7" width="5.77734375" style="14" bestFit="1" customWidth="1"/>
    <col min="8" max="8" width="13.109375" style="14" bestFit="1" customWidth="1"/>
    <col min="9" max="9" width="8.44140625" style="14" bestFit="1" customWidth="1"/>
    <col min="10" max="10" width="7.44140625" style="14" customWidth="1"/>
    <col min="11" max="11" width="7.88671875" style="43" bestFit="1" customWidth="1"/>
    <col min="12" max="12" width="12.21875" style="43" customWidth="1"/>
    <col min="13" max="13" width="9.5546875" style="43" bestFit="1" customWidth="1"/>
    <col min="14" max="14" width="9.33203125" style="43" customWidth="1"/>
    <col min="15" max="257" width="8.88671875" style="14"/>
    <col min="258" max="258" width="10.44140625" style="14" bestFit="1" customWidth="1"/>
    <col min="259" max="259" width="10.88671875" style="14" bestFit="1" customWidth="1"/>
    <col min="260" max="260" width="7.6640625" style="14" bestFit="1" customWidth="1"/>
    <col min="261" max="261" width="8.6640625" style="14" bestFit="1" customWidth="1"/>
    <col min="262" max="262" width="5.109375" style="14" bestFit="1" customWidth="1"/>
    <col min="263" max="263" width="5.77734375" style="14" bestFit="1" customWidth="1"/>
    <col min="264" max="264" width="13.109375" style="14" bestFit="1" customWidth="1"/>
    <col min="265" max="265" width="8.44140625" style="14" bestFit="1" customWidth="1"/>
    <col min="266" max="266" width="4.88671875" style="14" bestFit="1" customWidth="1"/>
    <col min="267" max="267" width="7.88671875" style="14" bestFit="1" customWidth="1"/>
    <col min="268" max="268" width="9.21875" style="14" bestFit="1" customWidth="1"/>
    <col min="269" max="269" width="9.33203125" style="14" bestFit="1" customWidth="1"/>
    <col min="270" max="270" width="6.21875" style="14" bestFit="1" customWidth="1"/>
    <col min="271" max="513" width="8.88671875" style="14"/>
    <col min="514" max="514" width="10.44140625" style="14" bestFit="1" customWidth="1"/>
    <col min="515" max="515" width="10.88671875" style="14" bestFit="1" customWidth="1"/>
    <col min="516" max="516" width="7.6640625" style="14" bestFit="1" customWidth="1"/>
    <col min="517" max="517" width="8.6640625" style="14" bestFit="1" customWidth="1"/>
    <col min="518" max="518" width="5.109375" style="14" bestFit="1" customWidth="1"/>
    <col min="519" max="519" width="5.77734375" style="14" bestFit="1" customWidth="1"/>
    <col min="520" max="520" width="13.109375" style="14" bestFit="1" customWidth="1"/>
    <col min="521" max="521" width="8.44140625" style="14" bestFit="1" customWidth="1"/>
    <col min="522" max="522" width="4.88671875" style="14" bestFit="1" customWidth="1"/>
    <col min="523" max="523" width="7.88671875" style="14" bestFit="1" customWidth="1"/>
    <col min="524" max="524" width="9.21875" style="14" bestFit="1" customWidth="1"/>
    <col min="525" max="525" width="9.33203125" style="14" bestFit="1" customWidth="1"/>
    <col min="526" max="526" width="6.21875" style="14" bestFit="1" customWidth="1"/>
    <col min="527" max="769" width="8.88671875" style="14"/>
    <col min="770" max="770" width="10.44140625" style="14" bestFit="1" customWidth="1"/>
    <col min="771" max="771" width="10.88671875" style="14" bestFit="1" customWidth="1"/>
    <col min="772" max="772" width="7.6640625" style="14" bestFit="1" customWidth="1"/>
    <col min="773" max="773" width="8.6640625" style="14" bestFit="1" customWidth="1"/>
    <col min="774" max="774" width="5.109375" style="14" bestFit="1" customWidth="1"/>
    <col min="775" max="775" width="5.77734375" style="14" bestFit="1" customWidth="1"/>
    <col min="776" max="776" width="13.109375" style="14" bestFit="1" customWidth="1"/>
    <col min="777" max="777" width="8.44140625" style="14" bestFit="1" customWidth="1"/>
    <col min="778" max="778" width="4.88671875" style="14" bestFit="1" customWidth="1"/>
    <col min="779" max="779" width="7.88671875" style="14" bestFit="1" customWidth="1"/>
    <col min="780" max="780" width="9.21875" style="14" bestFit="1" customWidth="1"/>
    <col min="781" max="781" width="9.33203125" style="14" bestFit="1" customWidth="1"/>
    <col min="782" max="782" width="6.21875" style="14" bestFit="1" customWidth="1"/>
    <col min="783" max="1025" width="8.88671875" style="14"/>
    <col min="1026" max="1026" width="10.44140625" style="14" bestFit="1" customWidth="1"/>
    <col min="1027" max="1027" width="10.88671875" style="14" bestFit="1" customWidth="1"/>
    <col min="1028" max="1028" width="7.6640625" style="14" bestFit="1" customWidth="1"/>
    <col min="1029" max="1029" width="8.6640625" style="14" bestFit="1" customWidth="1"/>
    <col min="1030" max="1030" width="5.109375" style="14" bestFit="1" customWidth="1"/>
    <col min="1031" max="1031" width="5.77734375" style="14" bestFit="1" customWidth="1"/>
    <col min="1032" max="1032" width="13.109375" style="14" bestFit="1" customWidth="1"/>
    <col min="1033" max="1033" width="8.44140625" style="14" bestFit="1" customWidth="1"/>
    <col min="1034" max="1034" width="4.88671875" style="14" bestFit="1" customWidth="1"/>
    <col min="1035" max="1035" width="7.88671875" style="14" bestFit="1" customWidth="1"/>
    <col min="1036" max="1036" width="9.21875" style="14" bestFit="1" customWidth="1"/>
    <col min="1037" max="1037" width="9.33203125" style="14" bestFit="1" customWidth="1"/>
    <col min="1038" max="1038" width="6.21875" style="14" bestFit="1" customWidth="1"/>
    <col min="1039" max="1281" width="8.88671875" style="14"/>
    <col min="1282" max="1282" width="10.44140625" style="14" bestFit="1" customWidth="1"/>
    <col min="1283" max="1283" width="10.88671875" style="14" bestFit="1" customWidth="1"/>
    <col min="1284" max="1284" width="7.6640625" style="14" bestFit="1" customWidth="1"/>
    <col min="1285" max="1285" width="8.6640625" style="14" bestFit="1" customWidth="1"/>
    <col min="1286" max="1286" width="5.109375" style="14" bestFit="1" customWidth="1"/>
    <col min="1287" max="1287" width="5.77734375" style="14" bestFit="1" customWidth="1"/>
    <col min="1288" max="1288" width="13.109375" style="14" bestFit="1" customWidth="1"/>
    <col min="1289" max="1289" width="8.44140625" style="14" bestFit="1" customWidth="1"/>
    <col min="1290" max="1290" width="4.88671875" style="14" bestFit="1" customWidth="1"/>
    <col min="1291" max="1291" width="7.88671875" style="14" bestFit="1" customWidth="1"/>
    <col min="1292" max="1292" width="9.21875" style="14" bestFit="1" customWidth="1"/>
    <col min="1293" max="1293" width="9.33203125" style="14" bestFit="1" customWidth="1"/>
    <col min="1294" max="1294" width="6.21875" style="14" bestFit="1" customWidth="1"/>
    <col min="1295" max="1537" width="8.88671875" style="14"/>
    <col min="1538" max="1538" width="10.44140625" style="14" bestFit="1" customWidth="1"/>
    <col min="1539" max="1539" width="10.88671875" style="14" bestFit="1" customWidth="1"/>
    <col min="1540" max="1540" width="7.6640625" style="14" bestFit="1" customWidth="1"/>
    <col min="1541" max="1541" width="8.6640625" style="14" bestFit="1" customWidth="1"/>
    <col min="1542" max="1542" width="5.109375" style="14" bestFit="1" customWidth="1"/>
    <col min="1543" max="1543" width="5.77734375" style="14" bestFit="1" customWidth="1"/>
    <col min="1544" max="1544" width="13.109375" style="14" bestFit="1" customWidth="1"/>
    <col min="1545" max="1545" width="8.44140625" style="14" bestFit="1" customWidth="1"/>
    <col min="1546" max="1546" width="4.88671875" style="14" bestFit="1" customWidth="1"/>
    <col min="1547" max="1547" width="7.88671875" style="14" bestFit="1" customWidth="1"/>
    <col min="1548" max="1548" width="9.21875" style="14" bestFit="1" customWidth="1"/>
    <col min="1549" max="1549" width="9.33203125" style="14" bestFit="1" customWidth="1"/>
    <col min="1550" max="1550" width="6.21875" style="14" bestFit="1" customWidth="1"/>
    <col min="1551" max="1793" width="8.88671875" style="14"/>
    <col min="1794" max="1794" width="10.44140625" style="14" bestFit="1" customWidth="1"/>
    <col min="1795" max="1795" width="10.88671875" style="14" bestFit="1" customWidth="1"/>
    <col min="1796" max="1796" width="7.6640625" style="14" bestFit="1" customWidth="1"/>
    <col min="1797" max="1797" width="8.6640625" style="14" bestFit="1" customWidth="1"/>
    <col min="1798" max="1798" width="5.109375" style="14" bestFit="1" customWidth="1"/>
    <col min="1799" max="1799" width="5.77734375" style="14" bestFit="1" customWidth="1"/>
    <col min="1800" max="1800" width="13.109375" style="14" bestFit="1" customWidth="1"/>
    <col min="1801" max="1801" width="8.44140625" style="14" bestFit="1" customWidth="1"/>
    <col min="1802" max="1802" width="4.88671875" style="14" bestFit="1" customWidth="1"/>
    <col min="1803" max="1803" width="7.88671875" style="14" bestFit="1" customWidth="1"/>
    <col min="1804" max="1804" width="9.21875" style="14" bestFit="1" customWidth="1"/>
    <col min="1805" max="1805" width="9.33203125" style="14" bestFit="1" customWidth="1"/>
    <col min="1806" max="1806" width="6.21875" style="14" bestFit="1" customWidth="1"/>
    <col min="1807" max="2049" width="8.88671875" style="14"/>
    <col min="2050" max="2050" width="10.44140625" style="14" bestFit="1" customWidth="1"/>
    <col min="2051" max="2051" width="10.88671875" style="14" bestFit="1" customWidth="1"/>
    <col min="2052" max="2052" width="7.6640625" style="14" bestFit="1" customWidth="1"/>
    <col min="2053" max="2053" width="8.6640625" style="14" bestFit="1" customWidth="1"/>
    <col min="2054" max="2054" width="5.109375" style="14" bestFit="1" customWidth="1"/>
    <col min="2055" max="2055" width="5.77734375" style="14" bestFit="1" customWidth="1"/>
    <col min="2056" max="2056" width="13.109375" style="14" bestFit="1" customWidth="1"/>
    <col min="2057" max="2057" width="8.44140625" style="14" bestFit="1" customWidth="1"/>
    <col min="2058" max="2058" width="4.88671875" style="14" bestFit="1" customWidth="1"/>
    <col min="2059" max="2059" width="7.88671875" style="14" bestFit="1" customWidth="1"/>
    <col min="2060" max="2060" width="9.21875" style="14" bestFit="1" customWidth="1"/>
    <col min="2061" max="2061" width="9.33203125" style="14" bestFit="1" customWidth="1"/>
    <col min="2062" max="2062" width="6.21875" style="14" bestFit="1" customWidth="1"/>
    <col min="2063" max="2305" width="8.88671875" style="14"/>
    <col min="2306" max="2306" width="10.44140625" style="14" bestFit="1" customWidth="1"/>
    <col min="2307" max="2307" width="10.88671875" style="14" bestFit="1" customWidth="1"/>
    <col min="2308" max="2308" width="7.6640625" style="14" bestFit="1" customWidth="1"/>
    <col min="2309" max="2309" width="8.6640625" style="14" bestFit="1" customWidth="1"/>
    <col min="2310" max="2310" width="5.109375" style="14" bestFit="1" customWidth="1"/>
    <col min="2311" max="2311" width="5.77734375" style="14" bestFit="1" customWidth="1"/>
    <col min="2312" max="2312" width="13.109375" style="14" bestFit="1" customWidth="1"/>
    <col min="2313" max="2313" width="8.44140625" style="14" bestFit="1" customWidth="1"/>
    <col min="2314" max="2314" width="4.88671875" style="14" bestFit="1" customWidth="1"/>
    <col min="2315" max="2315" width="7.88671875" style="14" bestFit="1" customWidth="1"/>
    <col min="2316" max="2316" width="9.21875" style="14" bestFit="1" customWidth="1"/>
    <col min="2317" max="2317" width="9.33203125" style="14" bestFit="1" customWidth="1"/>
    <col min="2318" max="2318" width="6.21875" style="14" bestFit="1" customWidth="1"/>
    <col min="2319" max="2561" width="8.88671875" style="14"/>
    <col min="2562" max="2562" width="10.44140625" style="14" bestFit="1" customWidth="1"/>
    <col min="2563" max="2563" width="10.88671875" style="14" bestFit="1" customWidth="1"/>
    <col min="2564" max="2564" width="7.6640625" style="14" bestFit="1" customWidth="1"/>
    <col min="2565" max="2565" width="8.6640625" style="14" bestFit="1" customWidth="1"/>
    <col min="2566" max="2566" width="5.109375" style="14" bestFit="1" customWidth="1"/>
    <col min="2567" max="2567" width="5.77734375" style="14" bestFit="1" customWidth="1"/>
    <col min="2568" max="2568" width="13.109375" style="14" bestFit="1" customWidth="1"/>
    <col min="2569" max="2569" width="8.44140625" style="14" bestFit="1" customWidth="1"/>
    <col min="2570" max="2570" width="4.88671875" style="14" bestFit="1" customWidth="1"/>
    <col min="2571" max="2571" width="7.88671875" style="14" bestFit="1" customWidth="1"/>
    <col min="2572" max="2572" width="9.21875" style="14" bestFit="1" customWidth="1"/>
    <col min="2573" max="2573" width="9.33203125" style="14" bestFit="1" customWidth="1"/>
    <col min="2574" max="2574" width="6.21875" style="14" bestFit="1" customWidth="1"/>
    <col min="2575" max="2817" width="8.88671875" style="14"/>
    <col min="2818" max="2818" width="10.44140625" style="14" bestFit="1" customWidth="1"/>
    <col min="2819" max="2819" width="10.88671875" style="14" bestFit="1" customWidth="1"/>
    <col min="2820" max="2820" width="7.6640625" style="14" bestFit="1" customWidth="1"/>
    <col min="2821" max="2821" width="8.6640625" style="14" bestFit="1" customWidth="1"/>
    <col min="2822" max="2822" width="5.109375" style="14" bestFit="1" customWidth="1"/>
    <col min="2823" max="2823" width="5.77734375" style="14" bestFit="1" customWidth="1"/>
    <col min="2824" max="2824" width="13.109375" style="14" bestFit="1" customWidth="1"/>
    <col min="2825" max="2825" width="8.44140625" style="14" bestFit="1" customWidth="1"/>
    <col min="2826" max="2826" width="4.88671875" style="14" bestFit="1" customWidth="1"/>
    <col min="2827" max="2827" width="7.88671875" style="14" bestFit="1" customWidth="1"/>
    <col min="2828" max="2828" width="9.21875" style="14" bestFit="1" customWidth="1"/>
    <col min="2829" max="2829" width="9.33203125" style="14" bestFit="1" customWidth="1"/>
    <col min="2830" max="2830" width="6.21875" style="14" bestFit="1" customWidth="1"/>
    <col min="2831" max="3073" width="8.88671875" style="14"/>
    <col min="3074" max="3074" width="10.44140625" style="14" bestFit="1" customWidth="1"/>
    <col min="3075" max="3075" width="10.88671875" style="14" bestFit="1" customWidth="1"/>
    <col min="3076" max="3076" width="7.6640625" style="14" bestFit="1" customWidth="1"/>
    <col min="3077" max="3077" width="8.6640625" style="14" bestFit="1" customWidth="1"/>
    <col min="3078" max="3078" width="5.109375" style="14" bestFit="1" customWidth="1"/>
    <col min="3079" max="3079" width="5.77734375" style="14" bestFit="1" customWidth="1"/>
    <col min="3080" max="3080" width="13.109375" style="14" bestFit="1" customWidth="1"/>
    <col min="3081" max="3081" width="8.44140625" style="14" bestFit="1" customWidth="1"/>
    <col min="3082" max="3082" width="4.88671875" style="14" bestFit="1" customWidth="1"/>
    <col min="3083" max="3083" width="7.88671875" style="14" bestFit="1" customWidth="1"/>
    <col min="3084" max="3084" width="9.21875" style="14" bestFit="1" customWidth="1"/>
    <col min="3085" max="3085" width="9.33203125" style="14" bestFit="1" customWidth="1"/>
    <col min="3086" max="3086" width="6.21875" style="14" bestFit="1" customWidth="1"/>
    <col min="3087" max="3329" width="8.88671875" style="14"/>
    <col min="3330" max="3330" width="10.44140625" style="14" bestFit="1" customWidth="1"/>
    <col min="3331" max="3331" width="10.88671875" style="14" bestFit="1" customWidth="1"/>
    <col min="3332" max="3332" width="7.6640625" style="14" bestFit="1" customWidth="1"/>
    <col min="3333" max="3333" width="8.6640625" style="14" bestFit="1" customWidth="1"/>
    <col min="3334" max="3334" width="5.109375" style="14" bestFit="1" customWidth="1"/>
    <col min="3335" max="3335" width="5.77734375" style="14" bestFit="1" customWidth="1"/>
    <col min="3336" max="3336" width="13.109375" style="14" bestFit="1" customWidth="1"/>
    <col min="3337" max="3337" width="8.44140625" style="14" bestFit="1" customWidth="1"/>
    <col min="3338" max="3338" width="4.88671875" style="14" bestFit="1" customWidth="1"/>
    <col min="3339" max="3339" width="7.88671875" style="14" bestFit="1" customWidth="1"/>
    <col min="3340" max="3340" width="9.21875" style="14" bestFit="1" customWidth="1"/>
    <col min="3341" max="3341" width="9.33203125" style="14" bestFit="1" customWidth="1"/>
    <col min="3342" max="3342" width="6.21875" style="14" bestFit="1" customWidth="1"/>
    <col min="3343" max="3585" width="8.88671875" style="14"/>
    <col min="3586" max="3586" width="10.44140625" style="14" bestFit="1" customWidth="1"/>
    <col min="3587" max="3587" width="10.88671875" style="14" bestFit="1" customWidth="1"/>
    <col min="3588" max="3588" width="7.6640625" style="14" bestFit="1" customWidth="1"/>
    <col min="3589" max="3589" width="8.6640625" style="14" bestFit="1" customWidth="1"/>
    <col min="3590" max="3590" width="5.109375" style="14" bestFit="1" customWidth="1"/>
    <col min="3591" max="3591" width="5.77734375" style="14" bestFit="1" customWidth="1"/>
    <col min="3592" max="3592" width="13.109375" style="14" bestFit="1" customWidth="1"/>
    <col min="3593" max="3593" width="8.44140625" style="14" bestFit="1" customWidth="1"/>
    <col min="3594" max="3594" width="4.88671875" style="14" bestFit="1" customWidth="1"/>
    <col min="3595" max="3595" width="7.88671875" style="14" bestFit="1" customWidth="1"/>
    <col min="3596" max="3596" width="9.21875" style="14" bestFit="1" customWidth="1"/>
    <col min="3597" max="3597" width="9.33203125" style="14" bestFit="1" customWidth="1"/>
    <col min="3598" max="3598" width="6.21875" style="14" bestFit="1" customWidth="1"/>
    <col min="3599" max="3841" width="8.88671875" style="14"/>
    <col min="3842" max="3842" width="10.44140625" style="14" bestFit="1" customWidth="1"/>
    <col min="3843" max="3843" width="10.88671875" style="14" bestFit="1" customWidth="1"/>
    <col min="3844" max="3844" width="7.6640625" style="14" bestFit="1" customWidth="1"/>
    <col min="3845" max="3845" width="8.6640625" style="14" bestFit="1" customWidth="1"/>
    <col min="3846" max="3846" width="5.109375" style="14" bestFit="1" customWidth="1"/>
    <col min="3847" max="3847" width="5.77734375" style="14" bestFit="1" customWidth="1"/>
    <col min="3848" max="3848" width="13.109375" style="14" bestFit="1" customWidth="1"/>
    <col min="3849" max="3849" width="8.44140625" style="14" bestFit="1" customWidth="1"/>
    <col min="3850" max="3850" width="4.88671875" style="14" bestFit="1" customWidth="1"/>
    <col min="3851" max="3851" width="7.88671875" style="14" bestFit="1" customWidth="1"/>
    <col min="3852" max="3852" width="9.21875" style="14" bestFit="1" customWidth="1"/>
    <col min="3853" max="3853" width="9.33203125" style="14" bestFit="1" customWidth="1"/>
    <col min="3854" max="3854" width="6.21875" style="14" bestFit="1" customWidth="1"/>
    <col min="3855" max="4097" width="8.88671875" style="14"/>
    <col min="4098" max="4098" width="10.44140625" style="14" bestFit="1" customWidth="1"/>
    <col min="4099" max="4099" width="10.88671875" style="14" bestFit="1" customWidth="1"/>
    <col min="4100" max="4100" width="7.6640625" style="14" bestFit="1" customWidth="1"/>
    <col min="4101" max="4101" width="8.6640625" style="14" bestFit="1" customWidth="1"/>
    <col min="4102" max="4102" width="5.109375" style="14" bestFit="1" customWidth="1"/>
    <col min="4103" max="4103" width="5.77734375" style="14" bestFit="1" customWidth="1"/>
    <col min="4104" max="4104" width="13.109375" style="14" bestFit="1" customWidth="1"/>
    <col min="4105" max="4105" width="8.44140625" style="14" bestFit="1" customWidth="1"/>
    <col min="4106" max="4106" width="4.88671875" style="14" bestFit="1" customWidth="1"/>
    <col min="4107" max="4107" width="7.88671875" style="14" bestFit="1" customWidth="1"/>
    <col min="4108" max="4108" width="9.21875" style="14" bestFit="1" customWidth="1"/>
    <col min="4109" max="4109" width="9.33203125" style="14" bestFit="1" customWidth="1"/>
    <col min="4110" max="4110" width="6.21875" style="14" bestFit="1" customWidth="1"/>
    <col min="4111" max="4353" width="8.88671875" style="14"/>
    <col min="4354" max="4354" width="10.44140625" style="14" bestFit="1" customWidth="1"/>
    <col min="4355" max="4355" width="10.88671875" style="14" bestFit="1" customWidth="1"/>
    <col min="4356" max="4356" width="7.6640625" style="14" bestFit="1" customWidth="1"/>
    <col min="4357" max="4357" width="8.6640625" style="14" bestFit="1" customWidth="1"/>
    <col min="4358" max="4358" width="5.109375" style="14" bestFit="1" customWidth="1"/>
    <col min="4359" max="4359" width="5.77734375" style="14" bestFit="1" customWidth="1"/>
    <col min="4360" max="4360" width="13.109375" style="14" bestFit="1" customWidth="1"/>
    <col min="4361" max="4361" width="8.44140625" style="14" bestFit="1" customWidth="1"/>
    <col min="4362" max="4362" width="4.88671875" style="14" bestFit="1" customWidth="1"/>
    <col min="4363" max="4363" width="7.88671875" style="14" bestFit="1" customWidth="1"/>
    <col min="4364" max="4364" width="9.21875" style="14" bestFit="1" customWidth="1"/>
    <col min="4365" max="4365" width="9.33203125" style="14" bestFit="1" customWidth="1"/>
    <col min="4366" max="4366" width="6.21875" style="14" bestFit="1" customWidth="1"/>
    <col min="4367" max="4609" width="8.88671875" style="14"/>
    <col min="4610" max="4610" width="10.44140625" style="14" bestFit="1" customWidth="1"/>
    <col min="4611" max="4611" width="10.88671875" style="14" bestFit="1" customWidth="1"/>
    <col min="4612" max="4612" width="7.6640625" style="14" bestFit="1" customWidth="1"/>
    <col min="4613" max="4613" width="8.6640625" style="14" bestFit="1" customWidth="1"/>
    <col min="4614" max="4614" width="5.109375" style="14" bestFit="1" customWidth="1"/>
    <col min="4615" max="4615" width="5.77734375" style="14" bestFit="1" customWidth="1"/>
    <col min="4616" max="4616" width="13.109375" style="14" bestFit="1" customWidth="1"/>
    <col min="4617" max="4617" width="8.44140625" style="14" bestFit="1" customWidth="1"/>
    <col min="4618" max="4618" width="4.88671875" style="14" bestFit="1" customWidth="1"/>
    <col min="4619" max="4619" width="7.88671875" style="14" bestFit="1" customWidth="1"/>
    <col min="4620" max="4620" width="9.21875" style="14" bestFit="1" customWidth="1"/>
    <col min="4621" max="4621" width="9.33203125" style="14" bestFit="1" customWidth="1"/>
    <col min="4622" max="4622" width="6.21875" style="14" bestFit="1" customWidth="1"/>
    <col min="4623" max="4865" width="8.88671875" style="14"/>
    <col min="4866" max="4866" width="10.44140625" style="14" bestFit="1" customWidth="1"/>
    <col min="4867" max="4867" width="10.88671875" style="14" bestFit="1" customWidth="1"/>
    <col min="4868" max="4868" width="7.6640625" style="14" bestFit="1" customWidth="1"/>
    <col min="4869" max="4869" width="8.6640625" style="14" bestFit="1" customWidth="1"/>
    <col min="4870" max="4870" width="5.109375" style="14" bestFit="1" customWidth="1"/>
    <col min="4871" max="4871" width="5.77734375" style="14" bestFit="1" customWidth="1"/>
    <col min="4872" max="4872" width="13.109375" style="14" bestFit="1" customWidth="1"/>
    <col min="4873" max="4873" width="8.44140625" style="14" bestFit="1" customWidth="1"/>
    <col min="4874" max="4874" width="4.88671875" style="14" bestFit="1" customWidth="1"/>
    <col min="4875" max="4875" width="7.88671875" style="14" bestFit="1" customWidth="1"/>
    <col min="4876" max="4876" width="9.21875" style="14" bestFit="1" customWidth="1"/>
    <col min="4877" max="4877" width="9.33203125" style="14" bestFit="1" customWidth="1"/>
    <col min="4878" max="4878" width="6.21875" style="14" bestFit="1" customWidth="1"/>
    <col min="4879" max="5121" width="8.88671875" style="14"/>
    <col min="5122" max="5122" width="10.44140625" style="14" bestFit="1" customWidth="1"/>
    <col min="5123" max="5123" width="10.88671875" style="14" bestFit="1" customWidth="1"/>
    <col min="5124" max="5124" width="7.6640625" style="14" bestFit="1" customWidth="1"/>
    <col min="5125" max="5125" width="8.6640625" style="14" bestFit="1" customWidth="1"/>
    <col min="5126" max="5126" width="5.109375" style="14" bestFit="1" customWidth="1"/>
    <col min="5127" max="5127" width="5.77734375" style="14" bestFit="1" customWidth="1"/>
    <col min="5128" max="5128" width="13.109375" style="14" bestFit="1" customWidth="1"/>
    <col min="5129" max="5129" width="8.44140625" style="14" bestFit="1" customWidth="1"/>
    <col min="5130" max="5130" width="4.88671875" style="14" bestFit="1" customWidth="1"/>
    <col min="5131" max="5131" width="7.88671875" style="14" bestFit="1" customWidth="1"/>
    <col min="5132" max="5132" width="9.21875" style="14" bestFit="1" customWidth="1"/>
    <col min="5133" max="5133" width="9.33203125" style="14" bestFit="1" customWidth="1"/>
    <col min="5134" max="5134" width="6.21875" style="14" bestFit="1" customWidth="1"/>
    <col min="5135" max="5377" width="8.88671875" style="14"/>
    <col min="5378" max="5378" width="10.44140625" style="14" bestFit="1" customWidth="1"/>
    <col min="5379" max="5379" width="10.88671875" style="14" bestFit="1" customWidth="1"/>
    <col min="5380" max="5380" width="7.6640625" style="14" bestFit="1" customWidth="1"/>
    <col min="5381" max="5381" width="8.6640625" style="14" bestFit="1" customWidth="1"/>
    <col min="5382" max="5382" width="5.109375" style="14" bestFit="1" customWidth="1"/>
    <col min="5383" max="5383" width="5.77734375" style="14" bestFit="1" customWidth="1"/>
    <col min="5384" max="5384" width="13.109375" style="14" bestFit="1" customWidth="1"/>
    <col min="5385" max="5385" width="8.44140625" style="14" bestFit="1" customWidth="1"/>
    <col min="5386" max="5386" width="4.88671875" style="14" bestFit="1" customWidth="1"/>
    <col min="5387" max="5387" width="7.88671875" style="14" bestFit="1" customWidth="1"/>
    <col min="5388" max="5388" width="9.21875" style="14" bestFit="1" customWidth="1"/>
    <col min="5389" max="5389" width="9.33203125" style="14" bestFit="1" customWidth="1"/>
    <col min="5390" max="5390" width="6.21875" style="14" bestFit="1" customWidth="1"/>
    <col min="5391" max="5633" width="8.88671875" style="14"/>
    <col min="5634" max="5634" width="10.44140625" style="14" bestFit="1" customWidth="1"/>
    <col min="5635" max="5635" width="10.88671875" style="14" bestFit="1" customWidth="1"/>
    <col min="5636" max="5636" width="7.6640625" style="14" bestFit="1" customWidth="1"/>
    <col min="5637" max="5637" width="8.6640625" style="14" bestFit="1" customWidth="1"/>
    <col min="5638" max="5638" width="5.109375" style="14" bestFit="1" customWidth="1"/>
    <col min="5639" max="5639" width="5.77734375" style="14" bestFit="1" customWidth="1"/>
    <col min="5640" max="5640" width="13.109375" style="14" bestFit="1" customWidth="1"/>
    <col min="5641" max="5641" width="8.44140625" style="14" bestFit="1" customWidth="1"/>
    <col min="5642" max="5642" width="4.88671875" style="14" bestFit="1" customWidth="1"/>
    <col min="5643" max="5643" width="7.88671875" style="14" bestFit="1" customWidth="1"/>
    <col min="5644" max="5644" width="9.21875" style="14" bestFit="1" customWidth="1"/>
    <col min="5645" max="5645" width="9.33203125" style="14" bestFit="1" customWidth="1"/>
    <col min="5646" max="5646" width="6.21875" style="14" bestFit="1" customWidth="1"/>
    <col min="5647" max="5889" width="8.88671875" style="14"/>
    <col min="5890" max="5890" width="10.44140625" style="14" bestFit="1" customWidth="1"/>
    <col min="5891" max="5891" width="10.88671875" style="14" bestFit="1" customWidth="1"/>
    <col min="5892" max="5892" width="7.6640625" style="14" bestFit="1" customWidth="1"/>
    <col min="5893" max="5893" width="8.6640625" style="14" bestFit="1" customWidth="1"/>
    <col min="5894" max="5894" width="5.109375" style="14" bestFit="1" customWidth="1"/>
    <col min="5895" max="5895" width="5.77734375" style="14" bestFit="1" customWidth="1"/>
    <col min="5896" max="5896" width="13.109375" style="14" bestFit="1" customWidth="1"/>
    <col min="5897" max="5897" width="8.44140625" style="14" bestFit="1" customWidth="1"/>
    <col min="5898" max="5898" width="4.88671875" style="14" bestFit="1" customWidth="1"/>
    <col min="5899" max="5899" width="7.88671875" style="14" bestFit="1" customWidth="1"/>
    <col min="5900" max="5900" width="9.21875" style="14" bestFit="1" customWidth="1"/>
    <col min="5901" max="5901" width="9.33203125" style="14" bestFit="1" customWidth="1"/>
    <col min="5902" max="5902" width="6.21875" style="14" bestFit="1" customWidth="1"/>
    <col min="5903" max="6145" width="8.88671875" style="14"/>
    <col min="6146" max="6146" width="10.44140625" style="14" bestFit="1" customWidth="1"/>
    <col min="6147" max="6147" width="10.88671875" style="14" bestFit="1" customWidth="1"/>
    <col min="6148" max="6148" width="7.6640625" style="14" bestFit="1" customWidth="1"/>
    <col min="6149" max="6149" width="8.6640625" style="14" bestFit="1" customWidth="1"/>
    <col min="6150" max="6150" width="5.109375" style="14" bestFit="1" customWidth="1"/>
    <col min="6151" max="6151" width="5.77734375" style="14" bestFit="1" customWidth="1"/>
    <col min="6152" max="6152" width="13.109375" style="14" bestFit="1" customWidth="1"/>
    <col min="6153" max="6153" width="8.44140625" style="14" bestFit="1" customWidth="1"/>
    <col min="6154" max="6154" width="4.88671875" style="14" bestFit="1" customWidth="1"/>
    <col min="6155" max="6155" width="7.88671875" style="14" bestFit="1" customWidth="1"/>
    <col min="6156" max="6156" width="9.21875" style="14" bestFit="1" customWidth="1"/>
    <col min="6157" max="6157" width="9.33203125" style="14" bestFit="1" customWidth="1"/>
    <col min="6158" max="6158" width="6.21875" style="14" bestFit="1" customWidth="1"/>
    <col min="6159" max="6401" width="8.88671875" style="14"/>
    <col min="6402" max="6402" width="10.44140625" style="14" bestFit="1" customWidth="1"/>
    <col min="6403" max="6403" width="10.88671875" style="14" bestFit="1" customWidth="1"/>
    <col min="6404" max="6404" width="7.6640625" style="14" bestFit="1" customWidth="1"/>
    <col min="6405" max="6405" width="8.6640625" style="14" bestFit="1" customWidth="1"/>
    <col min="6406" max="6406" width="5.109375" style="14" bestFit="1" customWidth="1"/>
    <col min="6407" max="6407" width="5.77734375" style="14" bestFit="1" customWidth="1"/>
    <col min="6408" max="6408" width="13.109375" style="14" bestFit="1" customWidth="1"/>
    <col min="6409" max="6409" width="8.44140625" style="14" bestFit="1" customWidth="1"/>
    <col min="6410" max="6410" width="4.88671875" style="14" bestFit="1" customWidth="1"/>
    <col min="6411" max="6411" width="7.88671875" style="14" bestFit="1" customWidth="1"/>
    <col min="6412" max="6412" width="9.21875" style="14" bestFit="1" customWidth="1"/>
    <col min="6413" max="6413" width="9.33203125" style="14" bestFit="1" customWidth="1"/>
    <col min="6414" max="6414" width="6.21875" style="14" bestFit="1" customWidth="1"/>
    <col min="6415" max="6657" width="8.88671875" style="14"/>
    <col min="6658" max="6658" width="10.44140625" style="14" bestFit="1" customWidth="1"/>
    <col min="6659" max="6659" width="10.88671875" style="14" bestFit="1" customWidth="1"/>
    <col min="6660" max="6660" width="7.6640625" style="14" bestFit="1" customWidth="1"/>
    <col min="6661" max="6661" width="8.6640625" style="14" bestFit="1" customWidth="1"/>
    <col min="6662" max="6662" width="5.109375" style="14" bestFit="1" customWidth="1"/>
    <col min="6663" max="6663" width="5.77734375" style="14" bestFit="1" customWidth="1"/>
    <col min="6664" max="6664" width="13.109375" style="14" bestFit="1" customWidth="1"/>
    <col min="6665" max="6665" width="8.44140625" style="14" bestFit="1" customWidth="1"/>
    <col min="6666" max="6666" width="4.88671875" style="14" bestFit="1" customWidth="1"/>
    <col min="6667" max="6667" width="7.88671875" style="14" bestFit="1" customWidth="1"/>
    <col min="6668" max="6668" width="9.21875" style="14" bestFit="1" customWidth="1"/>
    <col min="6669" max="6669" width="9.33203125" style="14" bestFit="1" customWidth="1"/>
    <col min="6670" max="6670" width="6.21875" style="14" bestFit="1" customWidth="1"/>
    <col min="6671" max="6913" width="8.88671875" style="14"/>
    <col min="6914" max="6914" width="10.44140625" style="14" bestFit="1" customWidth="1"/>
    <col min="6915" max="6915" width="10.88671875" style="14" bestFit="1" customWidth="1"/>
    <col min="6916" max="6916" width="7.6640625" style="14" bestFit="1" customWidth="1"/>
    <col min="6917" max="6917" width="8.6640625" style="14" bestFit="1" customWidth="1"/>
    <col min="6918" max="6918" width="5.109375" style="14" bestFit="1" customWidth="1"/>
    <col min="6919" max="6919" width="5.77734375" style="14" bestFit="1" customWidth="1"/>
    <col min="6920" max="6920" width="13.109375" style="14" bestFit="1" customWidth="1"/>
    <col min="6921" max="6921" width="8.44140625" style="14" bestFit="1" customWidth="1"/>
    <col min="6922" max="6922" width="4.88671875" style="14" bestFit="1" customWidth="1"/>
    <col min="6923" max="6923" width="7.88671875" style="14" bestFit="1" customWidth="1"/>
    <col min="6924" max="6924" width="9.21875" style="14" bestFit="1" customWidth="1"/>
    <col min="6925" max="6925" width="9.33203125" style="14" bestFit="1" customWidth="1"/>
    <col min="6926" max="6926" width="6.21875" style="14" bestFit="1" customWidth="1"/>
    <col min="6927" max="7169" width="8.88671875" style="14"/>
    <col min="7170" max="7170" width="10.44140625" style="14" bestFit="1" customWidth="1"/>
    <col min="7171" max="7171" width="10.88671875" style="14" bestFit="1" customWidth="1"/>
    <col min="7172" max="7172" width="7.6640625" style="14" bestFit="1" customWidth="1"/>
    <col min="7173" max="7173" width="8.6640625" style="14" bestFit="1" customWidth="1"/>
    <col min="7174" max="7174" width="5.109375" style="14" bestFit="1" customWidth="1"/>
    <col min="7175" max="7175" width="5.77734375" style="14" bestFit="1" customWidth="1"/>
    <col min="7176" max="7176" width="13.109375" style="14" bestFit="1" customWidth="1"/>
    <col min="7177" max="7177" width="8.44140625" style="14" bestFit="1" customWidth="1"/>
    <col min="7178" max="7178" width="4.88671875" style="14" bestFit="1" customWidth="1"/>
    <col min="7179" max="7179" width="7.88671875" style="14" bestFit="1" customWidth="1"/>
    <col min="7180" max="7180" width="9.21875" style="14" bestFit="1" customWidth="1"/>
    <col min="7181" max="7181" width="9.33203125" style="14" bestFit="1" customWidth="1"/>
    <col min="7182" max="7182" width="6.21875" style="14" bestFit="1" customWidth="1"/>
    <col min="7183" max="7425" width="8.88671875" style="14"/>
    <col min="7426" max="7426" width="10.44140625" style="14" bestFit="1" customWidth="1"/>
    <col min="7427" max="7427" width="10.88671875" style="14" bestFit="1" customWidth="1"/>
    <col min="7428" max="7428" width="7.6640625" style="14" bestFit="1" customWidth="1"/>
    <col min="7429" max="7429" width="8.6640625" style="14" bestFit="1" customWidth="1"/>
    <col min="7430" max="7430" width="5.109375" style="14" bestFit="1" customWidth="1"/>
    <col min="7431" max="7431" width="5.77734375" style="14" bestFit="1" customWidth="1"/>
    <col min="7432" max="7432" width="13.109375" style="14" bestFit="1" customWidth="1"/>
    <col min="7433" max="7433" width="8.44140625" style="14" bestFit="1" customWidth="1"/>
    <col min="7434" max="7434" width="4.88671875" style="14" bestFit="1" customWidth="1"/>
    <col min="7435" max="7435" width="7.88671875" style="14" bestFit="1" customWidth="1"/>
    <col min="7436" max="7436" width="9.21875" style="14" bestFit="1" customWidth="1"/>
    <col min="7437" max="7437" width="9.33203125" style="14" bestFit="1" customWidth="1"/>
    <col min="7438" max="7438" width="6.21875" style="14" bestFit="1" customWidth="1"/>
    <col min="7439" max="7681" width="8.88671875" style="14"/>
    <col min="7682" max="7682" width="10.44140625" style="14" bestFit="1" customWidth="1"/>
    <col min="7683" max="7683" width="10.88671875" style="14" bestFit="1" customWidth="1"/>
    <col min="7684" max="7684" width="7.6640625" style="14" bestFit="1" customWidth="1"/>
    <col min="7685" max="7685" width="8.6640625" style="14" bestFit="1" customWidth="1"/>
    <col min="7686" max="7686" width="5.109375" style="14" bestFit="1" customWidth="1"/>
    <col min="7687" max="7687" width="5.77734375" style="14" bestFit="1" customWidth="1"/>
    <col min="7688" max="7688" width="13.109375" style="14" bestFit="1" customWidth="1"/>
    <col min="7689" max="7689" width="8.44140625" style="14" bestFit="1" customWidth="1"/>
    <col min="7690" max="7690" width="4.88671875" style="14" bestFit="1" customWidth="1"/>
    <col min="7691" max="7691" width="7.88671875" style="14" bestFit="1" customWidth="1"/>
    <col min="7692" max="7692" width="9.21875" style="14" bestFit="1" customWidth="1"/>
    <col min="7693" max="7693" width="9.33203125" style="14" bestFit="1" customWidth="1"/>
    <col min="7694" max="7694" width="6.21875" style="14" bestFit="1" customWidth="1"/>
    <col min="7695" max="7937" width="8.88671875" style="14"/>
    <col min="7938" max="7938" width="10.44140625" style="14" bestFit="1" customWidth="1"/>
    <col min="7939" max="7939" width="10.88671875" style="14" bestFit="1" customWidth="1"/>
    <col min="7940" max="7940" width="7.6640625" style="14" bestFit="1" customWidth="1"/>
    <col min="7941" max="7941" width="8.6640625" style="14" bestFit="1" customWidth="1"/>
    <col min="7942" max="7942" width="5.109375" style="14" bestFit="1" customWidth="1"/>
    <col min="7943" max="7943" width="5.77734375" style="14" bestFit="1" customWidth="1"/>
    <col min="7944" max="7944" width="13.109375" style="14" bestFit="1" customWidth="1"/>
    <col min="7945" max="7945" width="8.44140625" style="14" bestFit="1" customWidth="1"/>
    <col min="7946" max="7946" width="4.88671875" style="14" bestFit="1" customWidth="1"/>
    <col min="7947" max="7947" width="7.88671875" style="14" bestFit="1" customWidth="1"/>
    <col min="7948" max="7948" width="9.21875" style="14" bestFit="1" customWidth="1"/>
    <col min="7949" max="7949" width="9.33203125" style="14" bestFit="1" customWidth="1"/>
    <col min="7950" max="7950" width="6.21875" style="14" bestFit="1" customWidth="1"/>
    <col min="7951" max="8193" width="8.88671875" style="14"/>
    <col min="8194" max="8194" width="10.44140625" style="14" bestFit="1" customWidth="1"/>
    <col min="8195" max="8195" width="10.88671875" style="14" bestFit="1" customWidth="1"/>
    <col min="8196" max="8196" width="7.6640625" style="14" bestFit="1" customWidth="1"/>
    <col min="8197" max="8197" width="8.6640625" style="14" bestFit="1" customWidth="1"/>
    <col min="8198" max="8198" width="5.109375" style="14" bestFit="1" customWidth="1"/>
    <col min="8199" max="8199" width="5.77734375" style="14" bestFit="1" customWidth="1"/>
    <col min="8200" max="8200" width="13.109375" style="14" bestFit="1" customWidth="1"/>
    <col min="8201" max="8201" width="8.44140625" style="14" bestFit="1" customWidth="1"/>
    <col min="8202" max="8202" width="4.88671875" style="14" bestFit="1" customWidth="1"/>
    <col min="8203" max="8203" width="7.88671875" style="14" bestFit="1" customWidth="1"/>
    <col min="8204" max="8204" width="9.21875" style="14" bestFit="1" customWidth="1"/>
    <col min="8205" max="8205" width="9.33203125" style="14" bestFit="1" customWidth="1"/>
    <col min="8206" max="8206" width="6.21875" style="14" bestFit="1" customWidth="1"/>
    <col min="8207" max="8449" width="8.88671875" style="14"/>
    <col min="8450" max="8450" width="10.44140625" style="14" bestFit="1" customWidth="1"/>
    <col min="8451" max="8451" width="10.88671875" style="14" bestFit="1" customWidth="1"/>
    <col min="8452" max="8452" width="7.6640625" style="14" bestFit="1" customWidth="1"/>
    <col min="8453" max="8453" width="8.6640625" style="14" bestFit="1" customWidth="1"/>
    <col min="8454" max="8454" width="5.109375" style="14" bestFit="1" customWidth="1"/>
    <col min="8455" max="8455" width="5.77734375" style="14" bestFit="1" customWidth="1"/>
    <col min="8456" max="8456" width="13.109375" style="14" bestFit="1" customWidth="1"/>
    <col min="8457" max="8457" width="8.44140625" style="14" bestFit="1" customWidth="1"/>
    <col min="8458" max="8458" width="4.88671875" style="14" bestFit="1" customWidth="1"/>
    <col min="8459" max="8459" width="7.88671875" style="14" bestFit="1" customWidth="1"/>
    <col min="8460" max="8460" width="9.21875" style="14" bestFit="1" customWidth="1"/>
    <col min="8461" max="8461" width="9.33203125" style="14" bestFit="1" customWidth="1"/>
    <col min="8462" max="8462" width="6.21875" style="14" bestFit="1" customWidth="1"/>
    <col min="8463" max="8705" width="8.88671875" style="14"/>
    <col min="8706" max="8706" width="10.44140625" style="14" bestFit="1" customWidth="1"/>
    <col min="8707" max="8707" width="10.88671875" style="14" bestFit="1" customWidth="1"/>
    <col min="8708" max="8708" width="7.6640625" style="14" bestFit="1" customWidth="1"/>
    <col min="8709" max="8709" width="8.6640625" style="14" bestFit="1" customWidth="1"/>
    <col min="8710" max="8710" width="5.109375" style="14" bestFit="1" customWidth="1"/>
    <col min="8711" max="8711" width="5.77734375" style="14" bestFit="1" customWidth="1"/>
    <col min="8712" max="8712" width="13.109375" style="14" bestFit="1" customWidth="1"/>
    <col min="8713" max="8713" width="8.44140625" style="14" bestFit="1" customWidth="1"/>
    <col min="8714" max="8714" width="4.88671875" style="14" bestFit="1" customWidth="1"/>
    <col min="8715" max="8715" width="7.88671875" style="14" bestFit="1" customWidth="1"/>
    <col min="8716" max="8716" width="9.21875" style="14" bestFit="1" customWidth="1"/>
    <col min="8717" max="8717" width="9.33203125" style="14" bestFit="1" customWidth="1"/>
    <col min="8718" max="8718" width="6.21875" style="14" bestFit="1" customWidth="1"/>
    <col min="8719" max="8961" width="8.88671875" style="14"/>
    <col min="8962" max="8962" width="10.44140625" style="14" bestFit="1" customWidth="1"/>
    <col min="8963" max="8963" width="10.88671875" style="14" bestFit="1" customWidth="1"/>
    <col min="8964" max="8964" width="7.6640625" style="14" bestFit="1" customWidth="1"/>
    <col min="8965" max="8965" width="8.6640625" style="14" bestFit="1" customWidth="1"/>
    <col min="8966" max="8966" width="5.109375" style="14" bestFit="1" customWidth="1"/>
    <col min="8967" max="8967" width="5.77734375" style="14" bestFit="1" customWidth="1"/>
    <col min="8968" max="8968" width="13.109375" style="14" bestFit="1" customWidth="1"/>
    <col min="8969" max="8969" width="8.44140625" style="14" bestFit="1" customWidth="1"/>
    <col min="8970" max="8970" width="4.88671875" style="14" bestFit="1" customWidth="1"/>
    <col min="8971" max="8971" width="7.88671875" style="14" bestFit="1" customWidth="1"/>
    <col min="8972" max="8972" width="9.21875" style="14" bestFit="1" customWidth="1"/>
    <col min="8973" max="8973" width="9.33203125" style="14" bestFit="1" customWidth="1"/>
    <col min="8974" max="8974" width="6.21875" style="14" bestFit="1" customWidth="1"/>
    <col min="8975" max="9217" width="8.88671875" style="14"/>
    <col min="9218" max="9218" width="10.44140625" style="14" bestFit="1" customWidth="1"/>
    <col min="9219" max="9219" width="10.88671875" style="14" bestFit="1" customWidth="1"/>
    <col min="9220" max="9220" width="7.6640625" style="14" bestFit="1" customWidth="1"/>
    <col min="9221" max="9221" width="8.6640625" style="14" bestFit="1" customWidth="1"/>
    <col min="9222" max="9222" width="5.109375" style="14" bestFit="1" customWidth="1"/>
    <col min="9223" max="9223" width="5.77734375" style="14" bestFit="1" customWidth="1"/>
    <col min="9224" max="9224" width="13.109375" style="14" bestFit="1" customWidth="1"/>
    <col min="9225" max="9225" width="8.44140625" style="14" bestFit="1" customWidth="1"/>
    <col min="9226" max="9226" width="4.88671875" style="14" bestFit="1" customWidth="1"/>
    <col min="9227" max="9227" width="7.88671875" style="14" bestFit="1" customWidth="1"/>
    <col min="9228" max="9228" width="9.21875" style="14" bestFit="1" customWidth="1"/>
    <col min="9229" max="9229" width="9.33203125" style="14" bestFit="1" customWidth="1"/>
    <col min="9230" max="9230" width="6.21875" style="14" bestFit="1" customWidth="1"/>
    <col min="9231" max="9473" width="8.88671875" style="14"/>
    <col min="9474" max="9474" width="10.44140625" style="14" bestFit="1" customWidth="1"/>
    <col min="9475" max="9475" width="10.88671875" style="14" bestFit="1" customWidth="1"/>
    <col min="9476" max="9476" width="7.6640625" style="14" bestFit="1" customWidth="1"/>
    <col min="9477" max="9477" width="8.6640625" style="14" bestFit="1" customWidth="1"/>
    <col min="9478" max="9478" width="5.109375" style="14" bestFit="1" customWidth="1"/>
    <col min="9479" max="9479" width="5.77734375" style="14" bestFit="1" customWidth="1"/>
    <col min="9480" max="9480" width="13.109375" style="14" bestFit="1" customWidth="1"/>
    <col min="9481" max="9481" width="8.44140625" style="14" bestFit="1" customWidth="1"/>
    <col min="9482" max="9482" width="4.88671875" style="14" bestFit="1" customWidth="1"/>
    <col min="9483" max="9483" width="7.88671875" style="14" bestFit="1" customWidth="1"/>
    <col min="9484" max="9484" width="9.21875" style="14" bestFit="1" customWidth="1"/>
    <col min="9485" max="9485" width="9.33203125" style="14" bestFit="1" customWidth="1"/>
    <col min="9486" max="9486" width="6.21875" style="14" bestFit="1" customWidth="1"/>
    <col min="9487" max="9729" width="8.88671875" style="14"/>
    <col min="9730" max="9730" width="10.44140625" style="14" bestFit="1" customWidth="1"/>
    <col min="9731" max="9731" width="10.88671875" style="14" bestFit="1" customWidth="1"/>
    <col min="9732" max="9732" width="7.6640625" style="14" bestFit="1" customWidth="1"/>
    <col min="9733" max="9733" width="8.6640625" style="14" bestFit="1" customWidth="1"/>
    <col min="9734" max="9734" width="5.109375" style="14" bestFit="1" customWidth="1"/>
    <col min="9735" max="9735" width="5.77734375" style="14" bestFit="1" customWidth="1"/>
    <col min="9736" max="9736" width="13.109375" style="14" bestFit="1" customWidth="1"/>
    <col min="9737" max="9737" width="8.44140625" style="14" bestFit="1" customWidth="1"/>
    <col min="9738" max="9738" width="4.88671875" style="14" bestFit="1" customWidth="1"/>
    <col min="9739" max="9739" width="7.88671875" style="14" bestFit="1" customWidth="1"/>
    <col min="9740" max="9740" width="9.21875" style="14" bestFit="1" customWidth="1"/>
    <col min="9741" max="9741" width="9.33203125" style="14" bestFit="1" customWidth="1"/>
    <col min="9742" max="9742" width="6.21875" style="14" bestFit="1" customWidth="1"/>
    <col min="9743" max="9985" width="8.88671875" style="14"/>
    <col min="9986" max="9986" width="10.44140625" style="14" bestFit="1" customWidth="1"/>
    <col min="9987" max="9987" width="10.88671875" style="14" bestFit="1" customWidth="1"/>
    <col min="9988" max="9988" width="7.6640625" style="14" bestFit="1" customWidth="1"/>
    <col min="9989" max="9989" width="8.6640625" style="14" bestFit="1" customWidth="1"/>
    <col min="9990" max="9990" width="5.109375" style="14" bestFit="1" customWidth="1"/>
    <col min="9991" max="9991" width="5.77734375" style="14" bestFit="1" customWidth="1"/>
    <col min="9992" max="9992" width="13.109375" style="14" bestFit="1" customWidth="1"/>
    <col min="9993" max="9993" width="8.44140625" style="14" bestFit="1" customWidth="1"/>
    <col min="9994" max="9994" width="4.88671875" style="14" bestFit="1" customWidth="1"/>
    <col min="9995" max="9995" width="7.88671875" style="14" bestFit="1" customWidth="1"/>
    <col min="9996" max="9996" width="9.21875" style="14" bestFit="1" customWidth="1"/>
    <col min="9997" max="9997" width="9.33203125" style="14" bestFit="1" customWidth="1"/>
    <col min="9998" max="9998" width="6.21875" style="14" bestFit="1" customWidth="1"/>
    <col min="9999" max="10241" width="8.88671875" style="14"/>
    <col min="10242" max="10242" width="10.44140625" style="14" bestFit="1" customWidth="1"/>
    <col min="10243" max="10243" width="10.88671875" style="14" bestFit="1" customWidth="1"/>
    <col min="10244" max="10244" width="7.6640625" style="14" bestFit="1" customWidth="1"/>
    <col min="10245" max="10245" width="8.6640625" style="14" bestFit="1" customWidth="1"/>
    <col min="10246" max="10246" width="5.109375" style="14" bestFit="1" customWidth="1"/>
    <col min="10247" max="10247" width="5.77734375" style="14" bestFit="1" customWidth="1"/>
    <col min="10248" max="10248" width="13.109375" style="14" bestFit="1" customWidth="1"/>
    <col min="10249" max="10249" width="8.44140625" style="14" bestFit="1" customWidth="1"/>
    <col min="10250" max="10250" width="4.88671875" style="14" bestFit="1" customWidth="1"/>
    <col min="10251" max="10251" width="7.88671875" style="14" bestFit="1" customWidth="1"/>
    <col min="10252" max="10252" width="9.21875" style="14" bestFit="1" customWidth="1"/>
    <col min="10253" max="10253" width="9.33203125" style="14" bestFit="1" customWidth="1"/>
    <col min="10254" max="10254" width="6.21875" style="14" bestFit="1" customWidth="1"/>
    <col min="10255" max="10497" width="8.88671875" style="14"/>
    <col min="10498" max="10498" width="10.44140625" style="14" bestFit="1" customWidth="1"/>
    <col min="10499" max="10499" width="10.88671875" style="14" bestFit="1" customWidth="1"/>
    <col min="10500" max="10500" width="7.6640625" style="14" bestFit="1" customWidth="1"/>
    <col min="10501" max="10501" width="8.6640625" style="14" bestFit="1" customWidth="1"/>
    <col min="10502" max="10502" width="5.109375" style="14" bestFit="1" customWidth="1"/>
    <col min="10503" max="10503" width="5.77734375" style="14" bestFit="1" customWidth="1"/>
    <col min="10504" max="10504" width="13.109375" style="14" bestFit="1" customWidth="1"/>
    <col min="10505" max="10505" width="8.44140625" style="14" bestFit="1" customWidth="1"/>
    <col min="10506" max="10506" width="4.88671875" style="14" bestFit="1" customWidth="1"/>
    <col min="10507" max="10507" width="7.88671875" style="14" bestFit="1" customWidth="1"/>
    <col min="10508" max="10508" width="9.21875" style="14" bestFit="1" customWidth="1"/>
    <col min="10509" max="10509" width="9.33203125" style="14" bestFit="1" customWidth="1"/>
    <col min="10510" max="10510" width="6.21875" style="14" bestFit="1" customWidth="1"/>
    <col min="10511" max="10753" width="8.88671875" style="14"/>
    <col min="10754" max="10754" width="10.44140625" style="14" bestFit="1" customWidth="1"/>
    <col min="10755" max="10755" width="10.88671875" style="14" bestFit="1" customWidth="1"/>
    <col min="10756" max="10756" width="7.6640625" style="14" bestFit="1" customWidth="1"/>
    <col min="10757" max="10757" width="8.6640625" style="14" bestFit="1" customWidth="1"/>
    <col min="10758" max="10758" width="5.109375" style="14" bestFit="1" customWidth="1"/>
    <col min="10759" max="10759" width="5.77734375" style="14" bestFit="1" customWidth="1"/>
    <col min="10760" max="10760" width="13.109375" style="14" bestFit="1" customWidth="1"/>
    <col min="10761" max="10761" width="8.44140625" style="14" bestFit="1" customWidth="1"/>
    <col min="10762" max="10762" width="4.88671875" style="14" bestFit="1" customWidth="1"/>
    <col min="10763" max="10763" width="7.88671875" style="14" bestFit="1" customWidth="1"/>
    <col min="10764" max="10764" width="9.21875" style="14" bestFit="1" customWidth="1"/>
    <col min="10765" max="10765" width="9.33203125" style="14" bestFit="1" customWidth="1"/>
    <col min="10766" max="10766" width="6.21875" style="14" bestFit="1" customWidth="1"/>
    <col min="10767" max="11009" width="8.88671875" style="14"/>
    <col min="11010" max="11010" width="10.44140625" style="14" bestFit="1" customWidth="1"/>
    <col min="11011" max="11011" width="10.88671875" style="14" bestFit="1" customWidth="1"/>
    <col min="11012" max="11012" width="7.6640625" style="14" bestFit="1" customWidth="1"/>
    <col min="11013" max="11013" width="8.6640625" style="14" bestFit="1" customWidth="1"/>
    <col min="11014" max="11014" width="5.109375" style="14" bestFit="1" customWidth="1"/>
    <col min="11015" max="11015" width="5.77734375" style="14" bestFit="1" customWidth="1"/>
    <col min="11016" max="11016" width="13.109375" style="14" bestFit="1" customWidth="1"/>
    <col min="11017" max="11017" width="8.44140625" style="14" bestFit="1" customWidth="1"/>
    <col min="11018" max="11018" width="4.88671875" style="14" bestFit="1" customWidth="1"/>
    <col min="11019" max="11019" width="7.88671875" style="14" bestFit="1" customWidth="1"/>
    <col min="11020" max="11020" width="9.21875" style="14" bestFit="1" customWidth="1"/>
    <col min="11021" max="11021" width="9.33203125" style="14" bestFit="1" customWidth="1"/>
    <col min="11022" max="11022" width="6.21875" style="14" bestFit="1" customWidth="1"/>
    <col min="11023" max="11265" width="8.88671875" style="14"/>
    <col min="11266" max="11266" width="10.44140625" style="14" bestFit="1" customWidth="1"/>
    <col min="11267" max="11267" width="10.88671875" style="14" bestFit="1" customWidth="1"/>
    <col min="11268" max="11268" width="7.6640625" style="14" bestFit="1" customWidth="1"/>
    <col min="11269" max="11269" width="8.6640625" style="14" bestFit="1" customWidth="1"/>
    <col min="11270" max="11270" width="5.109375" style="14" bestFit="1" customWidth="1"/>
    <col min="11271" max="11271" width="5.77734375" style="14" bestFit="1" customWidth="1"/>
    <col min="11272" max="11272" width="13.109375" style="14" bestFit="1" customWidth="1"/>
    <col min="11273" max="11273" width="8.44140625" style="14" bestFit="1" customWidth="1"/>
    <col min="11274" max="11274" width="4.88671875" style="14" bestFit="1" customWidth="1"/>
    <col min="11275" max="11275" width="7.88671875" style="14" bestFit="1" customWidth="1"/>
    <col min="11276" max="11276" width="9.21875" style="14" bestFit="1" customWidth="1"/>
    <col min="11277" max="11277" width="9.33203125" style="14" bestFit="1" customWidth="1"/>
    <col min="11278" max="11278" width="6.21875" style="14" bestFit="1" customWidth="1"/>
    <col min="11279" max="11521" width="8.88671875" style="14"/>
    <col min="11522" max="11522" width="10.44140625" style="14" bestFit="1" customWidth="1"/>
    <col min="11523" max="11523" width="10.88671875" style="14" bestFit="1" customWidth="1"/>
    <col min="11524" max="11524" width="7.6640625" style="14" bestFit="1" customWidth="1"/>
    <col min="11525" max="11525" width="8.6640625" style="14" bestFit="1" customWidth="1"/>
    <col min="11526" max="11526" width="5.109375" style="14" bestFit="1" customWidth="1"/>
    <col min="11527" max="11527" width="5.77734375" style="14" bestFit="1" customWidth="1"/>
    <col min="11528" max="11528" width="13.109375" style="14" bestFit="1" customWidth="1"/>
    <col min="11529" max="11529" width="8.44140625" style="14" bestFit="1" customWidth="1"/>
    <col min="11530" max="11530" width="4.88671875" style="14" bestFit="1" customWidth="1"/>
    <col min="11531" max="11531" width="7.88671875" style="14" bestFit="1" customWidth="1"/>
    <col min="11532" max="11532" width="9.21875" style="14" bestFit="1" customWidth="1"/>
    <col min="11533" max="11533" width="9.33203125" style="14" bestFit="1" customWidth="1"/>
    <col min="11534" max="11534" width="6.21875" style="14" bestFit="1" customWidth="1"/>
    <col min="11535" max="11777" width="8.88671875" style="14"/>
    <col min="11778" max="11778" width="10.44140625" style="14" bestFit="1" customWidth="1"/>
    <col min="11779" max="11779" width="10.88671875" style="14" bestFit="1" customWidth="1"/>
    <col min="11780" max="11780" width="7.6640625" style="14" bestFit="1" customWidth="1"/>
    <col min="11781" max="11781" width="8.6640625" style="14" bestFit="1" customWidth="1"/>
    <col min="11782" max="11782" width="5.109375" style="14" bestFit="1" customWidth="1"/>
    <col min="11783" max="11783" width="5.77734375" style="14" bestFit="1" customWidth="1"/>
    <col min="11784" max="11784" width="13.109375" style="14" bestFit="1" customWidth="1"/>
    <col min="11785" max="11785" width="8.44140625" style="14" bestFit="1" customWidth="1"/>
    <col min="11786" max="11786" width="4.88671875" style="14" bestFit="1" customWidth="1"/>
    <col min="11787" max="11787" width="7.88671875" style="14" bestFit="1" customWidth="1"/>
    <col min="11788" max="11788" width="9.21875" style="14" bestFit="1" customWidth="1"/>
    <col min="11789" max="11789" width="9.33203125" style="14" bestFit="1" customWidth="1"/>
    <col min="11790" max="11790" width="6.21875" style="14" bestFit="1" customWidth="1"/>
    <col min="11791" max="12033" width="8.88671875" style="14"/>
    <col min="12034" max="12034" width="10.44140625" style="14" bestFit="1" customWidth="1"/>
    <col min="12035" max="12035" width="10.88671875" style="14" bestFit="1" customWidth="1"/>
    <col min="12036" max="12036" width="7.6640625" style="14" bestFit="1" customWidth="1"/>
    <col min="12037" max="12037" width="8.6640625" style="14" bestFit="1" customWidth="1"/>
    <col min="12038" max="12038" width="5.109375" style="14" bestFit="1" customWidth="1"/>
    <col min="12039" max="12039" width="5.77734375" style="14" bestFit="1" customWidth="1"/>
    <col min="12040" max="12040" width="13.109375" style="14" bestFit="1" customWidth="1"/>
    <col min="12041" max="12041" width="8.44140625" style="14" bestFit="1" customWidth="1"/>
    <col min="12042" max="12042" width="4.88671875" style="14" bestFit="1" customWidth="1"/>
    <col min="12043" max="12043" width="7.88671875" style="14" bestFit="1" customWidth="1"/>
    <col min="12044" max="12044" width="9.21875" style="14" bestFit="1" customWidth="1"/>
    <col min="12045" max="12045" width="9.33203125" style="14" bestFit="1" customWidth="1"/>
    <col min="12046" max="12046" width="6.21875" style="14" bestFit="1" customWidth="1"/>
    <col min="12047" max="12289" width="8.88671875" style="14"/>
    <col min="12290" max="12290" width="10.44140625" style="14" bestFit="1" customWidth="1"/>
    <col min="12291" max="12291" width="10.88671875" style="14" bestFit="1" customWidth="1"/>
    <col min="12292" max="12292" width="7.6640625" style="14" bestFit="1" customWidth="1"/>
    <col min="12293" max="12293" width="8.6640625" style="14" bestFit="1" customWidth="1"/>
    <col min="12294" max="12294" width="5.109375" style="14" bestFit="1" customWidth="1"/>
    <col min="12295" max="12295" width="5.77734375" style="14" bestFit="1" customWidth="1"/>
    <col min="12296" max="12296" width="13.109375" style="14" bestFit="1" customWidth="1"/>
    <col min="12297" max="12297" width="8.44140625" style="14" bestFit="1" customWidth="1"/>
    <col min="12298" max="12298" width="4.88671875" style="14" bestFit="1" customWidth="1"/>
    <col min="12299" max="12299" width="7.88671875" style="14" bestFit="1" customWidth="1"/>
    <col min="12300" max="12300" width="9.21875" style="14" bestFit="1" customWidth="1"/>
    <col min="12301" max="12301" width="9.33203125" style="14" bestFit="1" customWidth="1"/>
    <col min="12302" max="12302" width="6.21875" style="14" bestFit="1" customWidth="1"/>
    <col min="12303" max="12545" width="8.88671875" style="14"/>
    <col min="12546" max="12546" width="10.44140625" style="14" bestFit="1" customWidth="1"/>
    <col min="12547" max="12547" width="10.88671875" style="14" bestFit="1" customWidth="1"/>
    <col min="12548" max="12548" width="7.6640625" style="14" bestFit="1" customWidth="1"/>
    <col min="12549" max="12549" width="8.6640625" style="14" bestFit="1" customWidth="1"/>
    <col min="12550" max="12550" width="5.109375" style="14" bestFit="1" customWidth="1"/>
    <col min="12551" max="12551" width="5.77734375" style="14" bestFit="1" customWidth="1"/>
    <col min="12552" max="12552" width="13.109375" style="14" bestFit="1" customWidth="1"/>
    <col min="12553" max="12553" width="8.44140625" style="14" bestFit="1" customWidth="1"/>
    <col min="12554" max="12554" width="4.88671875" style="14" bestFit="1" customWidth="1"/>
    <col min="12555" max="12555" width="7.88671875" style="14" bestFit="1" customWidth="1"/>
    <col min="12556" max="12556" width="9.21875" style="14" bestFit="1" customWidth="1"/>
    <col min="12557" max="12557" width="9.33203125" style="14" bestFit="1" customWidth="1"/>
    <col min="12558" max="12558" width="6.21875" style="14" bestFit="1" customWidth="1"/>
    <col min="12559" max="12801" width="8.88671875" style="14"/>
    <col min="12802" max="12802" width="10.44140625" style="14" bestFit="1" customWidth="1"/>
    <col min="12803" max="12803" width="10.88671875" style="14" bestFit="1" customWidth="1"/>
    <col min="12804" max="12804" width="7.6640625" style="14" bestFit="1" customWidth="1"/>
    <col min="12805" max="12805" width="8.6640625" style="14" bestFit="1" customWidth="1"/>
    <col min="12806" max="12806" width="5.109375" style="14" bestFit="1" customWidth="1"/>
    <col min="12807" max="12807" width="5.77734375" style="14" bestFit="1" customWidth="1"/>
    <col min="12808" max="12808" width="13.109375" style="14" bestFit="1" customWidth="1"/>
    <col min="12809" max="12809" width="8.44140625" style="14" bestFit="1" customWidth="1"/>
    <col min="12810" max="12810" width="4.88671875" style="14" bestFit="1" customWidth="1"/>
    <col min="12811" max="12811" width="7.88671875" style="14" bestFit="1" customWidth="1"/>
    <col min="12812" max="12812" width="9.21875" style="14" bestFit="1" customWidth="1"/>
    <col min="12813" max="12813" width="9.33203125" style="14" bestFit="1" customWidth="1"/>
    <col min="12814" max="12814" width="6.21875" style="14" bestFit="1" customWidth="1"/>
    <col min="12815" max="13057" width="8.88671875" style="14"/>
    <col min="13058" max="13058" width="10.44140625" style="14" bestFit="1" customWidth="1"/>
    <col min="13059" max="13059" width="10.88671875" style="14" bestFit="1" customWidth="1"/>
    <col min="13060" max="13060" width="7.6640625" style="14" bestFit="1" customWidth="1"/>
    <col min="13061" max="13061" width="8.6640625" style="14" bestFit="1" customWidth="1"/>
    <col min="13062" max="13062" width="5.109375" style="14" bestFit="1" customWidth="1"/>
    <col min="13063" max="13063" width="5.77734375" style="14" bestFit="1" customWidth="1"/>
    <col min="13064" max="13064" width="13.109375" style="14" bestFit="1" customWidth="1"/>
    <col min="13065" max="13065" width="8.44140625" style="14" bestFit="1" customWidth="1"/>
    <col min="13066" max="13066" width="4.88671875" style="14" bestFit="1" customWidth="1"/>
    <col min="13067" max="13067" width="7.88671875" style="14" bestFit="1" customWidth="1"/>
    <col min="13068" max="13068" width="9.21875" style="14" bestFit="1" customWidth="1"/>
    <col min="13069" max="13069" width="9.33203125" style="14" bestFit="1" customWidth="1"/>
    <col min="13070" max="13070" width="6.21875" style="14" bestFit="1" customWidth="1"/>
    <col min="13071" max="13313" width="8.88671875" style="14"/>
    <col min="13314" max="13314" width="10.44140625" style="14" bestFit="1" customWidth="1"/>
    <col min="13315" max="13315" width="10.88671875" style="14" bestFit="1" customWidth="1"/>
    <col min="13316" max="13316" width="7.6640625" style="14" bestFit="1" customWidth="1"/>
    <col min="13317" max="13317" width="8.6640625" style="14" bestFit="1" customWidth="1"/>
    <col min="13318" max="13318" width="5.109375" style="14" bestFit="1" customWidth="1"/>
    <col min="13319" max="13319" width="5.77734375" style="14" bestFit="1" customWidth="1"/>
    <col min="13320" max="13320" width="13.109375" style="14" bestFit="1" customWidth="1"/>
    <col min="13321" max="13321" width="8.44140625" style="14" bestFit="1" customWidth="1"/>
    <col min="13322" max="13322" width="4.88671875" style="14" bestFit="1" customWidth="1"/>
    <col min="13323" max="13323" width="7.88671875" style="14" bestFit="1" customWidth="1"/>
    <col min="13324" max="13324" width="9.21875" style="14" bestFit="1" customWidth="1"/>
    <col min="13325" max="13325" width="9.33203125" style="14" bestFit="1" customWidth="1"/>
    <col min="13326" max="13326" width="6.21875" style="14" bestFit="1" customWidth="1"/>
    <col min="13327" max="13569" width="8.88671875" style="14"/>
    <col min="13570" max="13570" width="10.44140625" style="14" bestFit="1" customWidth="1"/>
    <col min="13571" max="13571" width="10.88671875" style="14" bestFit="1" customWidth="1"/>
    <col min="13572" max="13572" width="7.6640625" style="14" bestFit="1" customWidth="1"/>
    <col min="13573" max="13573" width="8.6640625" style="14" bestFit="1" customWidth="1"/>
    <col min="13574" max="13574" width="5.109375" style="14" bestFit="1" customWidth="1"/>
    <col min="13575" max="13575" width="5.77734375" style="14" bestFit="1" customWidth="1"/>
    <col min="13576" max="13576" width="13.109375" style="14" bestFit="1" customWidth="1"/>
    <col min="13577" max="13577" width="8.44140625" style="14" bestFit="1" customWidth="1"/>
    <col min="13578" max="13578" width="4.88671875" style="14" bestFit="1" customWidth="1"/>
    <col min="13579" max="13579" width="7.88671875" style="14" bestFit="1" customWidth="1"/>
    <col min="13580" max="13580" width="9.21875" style="14" bestFit="1" customWidth="1"/>
    <col min="13581" max="13581" width="9.33203125" style="14" bestFit="1" customWidth="1"/>
    <col min="13582" max="13582" width="6.21875" style="14" bestFit="1" customWidth="1"/>
    <col min="13583" max="13825" width="8.88671875" style="14"/>
    <col min="13826" max="13826" width="10.44140625" style="14" bestFit="1" customWidth="1"/>
    <col min="13827" max="13827" width="10.88671875" style="14" bestFit="1" customWidth="1"/>
    <col min="13828" max="13828" width="7.6640625" style="14" bestFit="1" customWidth="1"/>
    <col min="13829" max="13829" width="8.6640625" style="14" bestFit="1" customWidth="1"/>
    <col min="13830" max="13830" width="5.109375" style="14" bestFit="1" customWidth="1"/>
    <col min="13831" max="13831" width="5.77734375" style="14" bestFit="1" customWidth="1"/>
    <col min="13832" max="13832" width="13.109375" style="14" bestFit="1" customWidth="1"/>
    <col min="13833" max="13833" width="8.44140625" style="14" bestFit="1" customWidth="1"/>
    <col min="13834" max="13834" width="4.88671875" style="14" bestFit="1" customWidth="1"/>
    <col min="13835" max="13835" width="7.88671875" style="14" bestFit="1" customWidth="1"/>
    <col min="13836" max="13836" width="9.21875" style="14" bestFit="1" customWidth="1"/>
    <col min="13837" max="13837" width="9.33203125" style="14" bestFit="1" customWidth="1"/>
    <col min="13838" max="13838" width="6.21875" style="14" bestFit="1" customWidth="1"/>
    <col min="13839" max="14081" width="8.88671875" style="14"/>
    <col min="14082" max="14082" width="10.44140625" style="14" bestFit="1" customWidth="1"/>
    <col min="14083" max="14083" width="10.88671875" style="14" bestFit="1" customWidth="1"/>
    <col min="14084" max="14084" width="7.6640625" style="14" bestFit="1" customWidth="1"/>
    <col min="14085" max="14085" width="8.6640625" style="14" bestFit="1" customWidth="1"/>
    <col min="14086" max="14086" width="5.109375" style="14" bestFit="1" customWidth="1"/>
    <col min="14087" max="14087" width="5.77734375" style="14" bestFit="1" customWidth="1"/>
    <col min="14088" max="14088" width="13.109375" style="14" bestFit="1" customWidth="1"/>
    <col min="14089" max="14089" width="8.44140625" style="14" bestFit="1" customWidth="1"/>
    <col min="14090" max="14090" width="4.88671875" style="14" bestFit="1" customWidth="1"/>
    <col min="14091" max="14091" width="7.88671875" style="14" bestFit="1" customWidth="1"/>
    <col min="14092" max="14092" width="9.21875" style="14" bestFit="1" customWidth="1"/>
    <col min="14093" max="14093" width="9.33203125" style="14" bestFit="1" customWidth="1"/>
    <col min="14094" max="14094" width="6.21875" style="14" bestFit="1" customWidth="1"/>
    <col min="14095" max="14337" width="8.88671875" style="14"/>
    <col min="14338" max="14338" width="10.44140625" style="14" bestFit="1" customWidth="1"/>
    <col min="14339" max="14339" width="10.88671875" style="14" bestFit="1" customWidth="1"/>
    <col min="14340" max="14340" width="7.6640625" style="14" bestFit="1" customWidth="1"/>
    <col min="14341" max="14341" width="8.6640625" style="14" bestFit="1" customWidth="1"/>
    <col min="14342" max="14342" width="5.109375" style="14" bestFit="1" customWidth="1"/>
    <col min="14343" max="14343" width="5.77734375" style="14" bestFit="1" customWidth="1"/>
    <col min="14344" max="14344" width="13.109375" style="14" bestFit="1" customWidth="1"/>
    <col min="14345" max="14345" width="8.44140625" style="14" bestFit="1" customWidth="1"/>
    <col min="14346" max="14346" width="4.88671875" style="14" bestFit="1" customWidth="1"/>
    <col min="14347" max="14347" width="7.88671875" style="14" bestFit="1" customWidth="1"/>
    <col min="14348" max="14348" width="9.21875" style="14" bestFit="1" customWidth="1"/>
    <col min="14349" max="14349" width="9.33203125" style="14" bestFit="1" customWidth="1"/>
    <col min="14350" max="14350" width="6.21875" style="14" bestFit="1" customWidth="1"/>
    <col min="14351" max="14593" width="8.88671875" style="14"/>
    <col min="14594" max="14594" width="10.44140625" style="14" bestFit="1" customWidth="1"/>
    <col min="14595" max="14595" width="10.88671875" style="14" bestFit="1" customWidth="1"/>
    <col min="14596" max="14596" width="7.6640625" style="14" bestFit="1" customWidth="1"/>
    <col min="14597" max="14597" width="8.6640625" style="14" bestFit="1" customWidth="1"/>
    <col min="14598" max="14598" width="5.109375" style="14" bestFit="1" customWidth="1"/>
    <col min="14599" max="14599" width="5.77734375" style="14" bestFit="1" customWidth="1"/>
    <col min="14600" max="14600" width="13.109375" style="14" bestFit="1" customWidth="1"/>
    <col min="14601" max="14601" width="8.44140625" style="14" bestFit="1" customWidth="1"/>
    <col min="14602" max="14602" width="4.88671875" style="14" bestFit="1" customWidth="1"/>
    <col min="14603" max="14603" width="7.88671875" style="14" bestFit="1" customWidth="1"/>
    <col min="14604" max="14604" width="9.21875" style="14" bestFit="1" customWidth="1"/>
    <col min="14605" max="14605" width="9.33203125" style="14" bestFit="1" customWidth="1"/>
    <col min="14606" max="14606" width="6.21875" style="14" bestFit="1" customWidth="1"/>
    <col min="14607" max="14849" width="8.88671875" style="14"/>
    <col min="14850" max="14850" width="10.44140625" style="14" bestFit="1" customWidth="1"/>
    <col min="14851" max="14851" width="10.88671875" style="14" bestFit="1" customWidth="1"/>
    <col min="14852" max="14852" width="7.6640625" style="14" bestFit="1" customWidth="1"/>
    <col min="14853" max="14853" width="8.6640625" style="14" bestFit="1" customWidth="1"/>
    <col min="14854" max="14854" width="5.109375" style="14" bestFit="1" customWidth="1"/>
    <col min="14855" max="14855" width="5.77734375" style="14" bestFit="1" customWidth="1"/>
    <col min="14856" max="14856" width="13.109375" style="14" bestFit="1" customWidth="1"/>
    <col min="14857" max="14857" width="8.44140625" style="14" bestFit="1" customWidth="1"/>
    <col min="14858" max="14858" width="4.88671875" style="14" bestFit="1" customWidth="1"/>
    <col min="14859" max="14859" width="7.88671875" style="14" bestFit="1" customWidth="1"/>
    <col min="14860" max="14860" width="9.21875" style="14" bestFit="1" customWidth="1"/>
    <col min="14861" max="14861" width="9.33203125" style="14" bestFit="1" customWidth="1"/>
    <col min="14862" max="14862" width="6.21875" style="14" bestFit="1" customWidth="1"/>
    <col min="14863" max="15105" width="8.88671875" style="14"/>
    <col min="15106" max="15106" width="10.44140625" style="14" bestFit="1" customWidth="1"/>
    <col min="15107" max="15107" width="10.88671875" style="14" bestFit="1" customWidth="1"/>
    <col min="15108" max="15108" width="7.6640625" style="14" bestFit="1" customWidth="1"/>
    <col min="15109" max="15109" width="8.6640625" style="14" bestFit="1" customWidth="1"/>
    <col min="15110" max="15110" width="5.109375" style="14" bestFit="1" customWidth="1"/>
    <col min="15111" max="15111" width="5.77734375" style="14" bestFit="1" customWidth="1"/>
    <col min="15112" max="15112" width="13.109375" style="14" bestFit="1" customWidth="1"/>
    <col min="15113" max="15113" width="8.44140625" style="14" bestFit="1" customWidth="1"/>
    <col min="15114" max="15114" width="4.88671875" style="14" bestFit="1" customWidth="1"/>
    <col min="15115" max="15115" width="7.88671875" style="14" bestFit="1" customWidth="1"/>
    <col min="15116" max="15116" width="9.21875" style="14" bestFit="1" customWidth="1"/>
    <col min="15117" max="15117" width="9.33203125" style="14" bestFit="1" customWidth="1"/>
    <col min="15118" max="15118" width="6.21875" style="14" bestFit="1" customWidth="1"/>
    <col min="15119" max="15361" width="8.88671875" style="14"/>
    <col min="15362" max="15362" width="10.44140625" style="14" bestFit="1" customWidth="1"/>
    <col min="15363" max="15363" width="10.88671875" style="14" bestFit="1" customWidth="1"/>
    <col min="15364" max="15364" width="7.6640625" style="14" bestFit="1" customWidth="1"/>
    <col min="15365" max="15365" width="8.6640625" style="14" bestFit="1" customWidth="1"/>
    <col min="15366" max="15366" width="5.109375" style="14" bestFit="1" customWidth="1"/>
    <col min="15367" max="15367" width="5.77734375" style="14" bestFit="1" customWidth="1"/>
    <col min="15368" max="15368" width="13.109375" style="14" bestFit="1" customWidth="1"/>
    <col min="15369" max="15369" width="8.44140625" style="14" bestFit="1" customWidth="1"/>
    <col min="15370" max="15370" width="4.88671875" style="14" bestFit="1" customWidth="1"/>
    <col min="15371" max="15371" width="7.88671875" style="14" bestFit="1" customWidth="1"/>
    <col min="15372" max="15372" width="9.21875" style="14" bestFit="1" customWidth="1"/>
    <col min="15373" max="15373" width="9.33203125" style="14" bestFit="1" customWidth="1"/>
    <col min="15374" max="15374" width="6.21875" style="14" bestFit="1" customWidth="1"/>
    <col min="15375" max="15617" width="8.88671875" style="14"/>
    <col min="15618" max="15618" width="10.44140625" style="14" bestFit="1" customWidth="1"/>
    <col min="15619" max="15619" width="10.88671875" style="14" bestFit="1" customWidth="1"/>
    <col min="15620" max="15620" width="7.6640625" style="14" bestFit="1" customWidth="1"/>
    <col min="15621" max="15621" width="8.6640625" style="14" bestFit="1" customWidth="1"/>
    <col min="15622" max="15622" width="5.109375" style="14" bestFit="1" customWidth="1"/>
    <col min="15623" max="15623" width="5.77734375" style="14" bestFit="1" customWidth="1"/>
    <col min="15624" max="15624" width="13.109375" style="14" bestFit="1" customWidth="1"/>
    <col min="15625" max="15625" width="8.44140625" style="14" bestFit="1" customWidth="1"/>
    <col min="15626" max="15626" width="4.88671875" style="14" bestFit="1" customWidth="1"/>
    <col min="15627" max="15627" width="7.88671875" style="14" bestFit="1" customWidth="1"/>
    <col min="15628" max="15628" width="9.21875" style="14" bestFit="1" customWidth="1"/>
    <col min="15629" max="15629" width="9.33203125" style="14" bestFit="1" customWidth="1"/>
    <col min="15630" max="15630" width="6.21875" style="14" bestFit="1" customWidth="1"/>
    <col min="15631" max="15873" width="8.88671875" style="14"/>
    <col min="15874" max="15874" width="10.44140625" style="14" bestFit="1" customWidth="1"/>
    <col min="15875" max="15875" width="10.88671875" style="14" bestFit="1" customWidth="1"/>
    <col min="15876" max="15876" width="7.6640625" style="14" bestFit="1" customWidth="1"/>
    <col min="15877" max="15877" width="8.6640625" style="14" bestFit="1" customWidth="1"/>
    <col min="15878" max="15878" width="5.109375" style="14" bestFit="1" customWidth="1"/>
    <col min="15879" max="15879" width="5.77734375" style="14" bestFit="1" customWidth="1"/>
    <col min="15880" max="15880" width="13.109375" style="14" bestFit="1" customWidth="1"/>
    <col min="15881" max="15881" width="8.44140625" style="14" bestFit="1" customWidth="1"/>
    <col min="15882" max="15882" width="4.88671875" style="14" bestFit="1" customWidth="1"/>
    <col min="15883" max="15883" width="7.88671875" style="14" bestFit="1" customWidth="1"/>
    <col min="15884" max="15884" width="9.21875" style="14" bestFit="1" customWidth="1"/>
    <col min="15885" max="15885" width="9.33203125" style="14" bestFit="1" customWidth="1"/>
    <col min="15886" max="15886" width="6.21875" style="14" bestFit="1" customWidth="1"/>
    <col min="15887" max="16129" width="8.88671875" style="14"/>
    <col min="16130" max="16130" width="10.44140625" style="14" bestFit="1" customWidth="1"/>
    <col min="16131" max="16131" width="10.88671875" style="14" bestFit="1" customWidth="1"/>
    <col min="16132" max="16132" width="7.6640625" style="14" bestFit="1" customWidth="1"/>
    <col min="16133" max="16133" width="8.6640625" style="14" bestFit="1" customWidth="1"/>
    <col min="16134" max="16134" width="5.109375" style="14" bestFit="1" customWidth="1"/>
    <col min="16135" max="16135" width="5.77734375" style="14" bestFit="1" customWidth="1"/>
    <col min="16136" max="16136" width="13.109375" style="14" bestFit="1" customWidth="1"/>
    <col min="16137" max="16137" width="8.44140625" style="14" bestFit="1" customWidth="1"/>
    <col min="16138" max="16138" width="4.88671875" style="14" bestFit="1" customWidth="1"/>
    <col min="16139" max="16139" width="7.88671875" style="14" bestFit="1" customWidth="1"/>
    <col min="16140" max="16140" width="9.21875" style="14" bestFit="1" customWidth="1"/>
    <col min="16141" max="16141" width="9.33203125" style="14" bestFit="1" customWidth="1"/>
    <col min="16142" max="16142" width="6.21875" style="14" bestFit="1" customWidth="1"/>
    <col min="16143" max="16384" width="8.88671875" style="14"/>
  </cols>
  <sheetData>
    <row r="1" spans="1:14">
      <c r="A1" s="193" t="s">
        <v>738</v>
      </c>
      <c r="B1" s="194" t="s">
        <v>503</v>
      </c>
      <c r="C1" s="194" t="s">
        <v>502</v>
      </c>
      <c r="D1" s="193" t="s">
        <v>501</v>
      </c>
      <c r="E1" s="193" t="s">
        <v>500</v>
      </c>
      <c r="F1" s="194" t="s">
        <v>418</v>
      </c>
      <c r="G1" s="194" t="s">
        <v>415</v>
      </c>
      <c r="H1" s="194" t="s">
        <v>499</v>
      </c>
      <c r="I1" s="194" t="s">
        <v>498</v>
      </c>
      <c r="J1" s="194" t="s">
        <v>416</v>
      </c>
      <c r="K1" s="193" t="s">
        <v>400</v>
      </c>
      <c r="L1" s="193" t="s">
        <v>497</v>
      </c>
      <c r="M1" s="193" t="s">
        <v>65</v>
      </c>
      <c r="N1" s="193" t="s">
        <v>496</v>
      </c>
    </row>
    <row r="2" spans="1:14">
      <c r="A2" s="73">
        <v>44652</v>
      </c>
      <c r="B2" s="18" t="s">
        <v>443</v>
      </c>
      <c r="C2" s="18" t="s">
        <v>442</v>
      </c>
      <c r="D2" s="57">
        <v>50</v>
      </c>
      <c r="E2" s="57">
        <v>55</v>
      </c>
      <c r="F2" s="18" t="s">
        <v>398</v>
      </c>
      <c r="G2" s="18" t="s">
        <v>429</v>
      </c>
      <c r="H2" s="18" t="s">
        <v>495</v>
      </c>
      <c r="I2" s="18" t="s">
        <v>494</v>
      </c>
      <c r="J2" s="18" t="s">
        <v>493</v>
      </c>
      <c r="K2" s="57">
        <v>2000</v>
      </c>
      <c r="L2" s="57">
        <f>K2*E2</f>
        <v>110000</v>
      </c>
      <c r="M2" s="57">
        <f t="shared" ref="M2:M31" si="0">L2*5%</f>
        <v>5500</v>
      </c>
      <c r="N2" s="57">
        <f>((E2-D2)*K2)-M2</f>
        <v>4500</v>
      </c>
    </row>
    <row r="3" spans="1:14">
      <c r="A3" s="73">
        <v>44653</v>
      </c>
      <c r="B3" s="18" t="s">
        <v>441</v>
      </c>
      <c r="C3" s="18" t="s">
        <v>440</v>
      </c>
      <c r="D3" s="57">
        <v>15</v>
      </c>
      <c r="E3" s="57">
        <v>20</v>
      </c>
      <c r="F3" s="18" t="s">
        <v>398</v>
      </c>
      <c r="G3" s="18" t="s">
        <v>423</v>
      </c>
      <c r="H3" s="18" t="s">
        <v>472</v>
      </c>
      <c r="I3" s="18" t="s">
        <v>492</v>
      </c>
      <c r="J3" s="18" t="s">
        <v>470</v>
      </c>
      <c r="K3" s="57">
        <v>1000</v>
      </c>
      <c r="L3" s="57">
        <f t="shared" ref="L3:L31" si="1">K3*E3</f>
        <v>20000</v>
      </c>
      <c r="M3" s="57">
        <f t="shared" si="0"/>
        <v>1000</v>
      </c>
      <c r="N3" s="57">
        <f t="shared" ref="N3:N31" si="2">((E3-D3)*K3)-M3</f>
        <v>4000</v>
      </c>
    </row>
    <row r="4" spans="1:14">
      <c r="A4" s="73">
        <v>44654</v>
      </c>
      <c r="B4" s="18" t="s">
        <v>436</v>
      </c>
      <c r="C4" s="18" t="s">
        <v>435</v>
      </c>
      <c r="D4" s="57">
        <v>12</v>
      </c>
      <c r="E4" s="57">
        <v>15</v>
      </c>
      <c r="F4" s="18" t="s">
        <v>398</v>
      </c>
      <c r="G4" s="18" t="s">
        <v>412</v>
      </c>
      <c r="H4" s="18" t="s">
        <v>491</v>
      </c>
      <c r="I4" s="18" t="s">
        <v>490</v>
      </c>
      <c r="J4" s="18" t="s">
        <v>489</v>
      </c>
      <c r="K4" s="57">
        <v>1200</v>
      </c>
      <c r="L4" s="57">
        <f t="shared" si="1"/>
        <v>18000</v>
      </c>
      <c r="M4" s="57">
        <f t="shared" si="0"/>
        <v>900</v>
      </c>
      <c r="N4" s="57">
        <f t="shared" si="2"/>
        <v>2700</v>
      </c>
    </row>
    <row r="5" spans="1:14">
      <c r="A5" s="73">
        <v>44655</v>
      </c>
      <c r="B5" s="18" t="s">
        <v>431</v>
      </c>
      <c r="C5" s="18" t="s">
        <v>430</v>
      </c>
      <c r="D5" s="57">
        <v>150</v>
      </c>
      <c r="E5" s="57">
        <v>160</v>
      </c>
      <c r="F5" s="18" t="s">
        <v>398</v>
      </c>
      <c r="G5" s="18" t="s">
        <v>411</v>
      </c>
      <c r="H5" s="18" t="s">
        <v>488</v>
      </c>
      <c r="I5" s="18" t="s">
        <v>487</v>
      </c>
      <c r="J5" s="18" t="s">
        <v>486</v>
      </c>
      <c r="K5" s="57">
        <v>1250</v>
      </c>
      <c r="L5" s="57">
        <f t="shared" si="1"/>
        <v>200000</v>
      </c>
      <c r="M5" s="57">
        <f t="shared" si="0"/>
        <v>10000</v>
      </c>
      <c r="N5" s="57">
        <f t="shared" si="2"/>
        <v>2500</v>
      </c>
    </row>
    <row r="6" spans="1:14">
      <c r="A6" s="73">
        <v>44656</v>
      </c>
      <c r="B6" s="18" t="s">
        <v>425</v>
      </c>
      <c r="C6" s="18" t="s">
        <v>424</v>
      </c>
      <c r="D6" s="57">
        <v>50</v>
      </c>
      <c r="E6" s="57">
        <v>60</v>
      </c>
      <c r="F6" s="18" t="s">
        <v>398</v>
      </c>
      <c r="G6" s="18" t="s">
        <v>429</v>
      </c>
      <c r="H6" s="18" t="s">
        <v>485</v>
      </c>
      <c r="I6" s="18" t="s">
        <v>484</v>
      </c>
      <c r="J6" s="18" t="s">
        <v>483</v>
      </c>
      <c r="K6" s="57">
        <v>1300</v>
      </c>
      <c r="L6" s="57">
        <f t="shared" si="1"/>
        <v>78000</v>
      </c>
      <c r="M6" s="57">
        <f t="shared" si="0"/>
        <v>3900</v>
      </c>
      <c r="N6" s="57">
        <f t="shared" si="2"/>
        <v>9100</v>
      </c>
    </row>
    <row r="7" spans="1:14">
      <c r="A7" s="73">
        <v>44657</v>
      </c>
      <c r="B7" s="18" t="s">
        <v>443</v>
      </c>
      <c r="C7" s="18" t="s">
        <v>442</v>
      </c>
      <c r="D7" s="57">
        <v>50</v>
      </c>
      <c r="E7" s="57">
        <v>55</v>
      </c>
      <c r="F7" s="18" t="s">
        <v>397</v>
      </c>
      <c r="G7" s="18" t="s">
        <v>423</v>
      </c>
      <c r="H7" s="18" t="s">
        <v>422</v>
      </c>
      <c r="I7" s="18" t="s">
        <v>482</v>
      </c>
      <c r="J7" s="18" t="s">
        <v>420</v>
      </c>
      <c r="K7" s="57">
        <v>1350</v>
      </c>
      <c r="L7" s="57">
        <f t="shared" si="1"/>
        <v>74250</v>
      </c>
      <c r="M7" s="57">
        <f t="shared" si="0"/>
        <v>3712.5</v>
      </c>
      <c r="N7" s="57">
        <f t="shared" si="2"/>
        <v>3037.5</v>
      </c>
    </row>
    <row r="8" spans="1:14">
      <c r="A8" s="73">
        <v>44658</v>
      </c>
      <c r="B8" s="18" t="s">
        <v>441</v>
      </c>
      <c r="C8" s="18" t="s">
        <v>440</v>
      </c>
      <c r="D8" s="57">
        <v>15</v>
      </c>
      <c r="E8" s="57">
        <v>20</v>
      </c>
      <c r="F8" s="18" t="s">
        <v>397</v>
      </c>
      <c r="G8" s="18" t="s">
        <v>412</v>
      </c>
      <c r="H8" s="18" t="s">
        <v>439</v>
      </c>
      <c r="I8" s="18" t="s">
        <v>481</v>
      </c>
      <c r="J8" s="18" t="s">
        <v>437</v>
      </c>
      <c r="K8" s="57">
        <v>1400</v>
      </c>
      <c r="L8" s="57">
        <f t="shared" si="1"/>
        <v>28000</v>
      </c>
      <c r="M8" s="57">
        <f t="shared" si="0"/>
        <v>1400</v>
      </c>
      <c r="N8" s="57">
        <f t="shared" si="2"/>
        <v>5600</v>
      </c>
    </row>
    <row r="9" spans="1:14">
      <c r="A9" s="73">
        <v>44659</v>
      </c>
      <c r="B9" s="18" t="s">
        <v>436</v>
      </c>
      <c r="C9" s="18" t="s">
        <v>435</v>
      </c>
      <c r="D9" s="57">
        <v>12</v>
      </c>
      <c r="E9" s="57">
        <v>15</v>
      </c>
      <c r="F9" s="18" t="s">
        <v>397</v>
      </c>
      <c r="G9" s="18" t="s">
        <v>411</v>
      </c>
      <c r="H9" s="18" t="s">
        <v>434</v>
      </c>
      <c r="I9" s="18" t="s">
        <v>480</v>
      </c>
      <c r="J9" s="18" t="s">
        <v>432</v>
      </c>
      <c r="K9" s="57">
        <v>9000</v>
      </c>
      <c r="L9" s="57">
        <f t="shared" si="1"/>
        <v>135000</v>
      </c>
      <c r="M9" s="57">
        <f t="shared" si="0"/>
        <v>6750</v>
      </c>
      <c r="N9" s="57">
        <f t="shared" si="2"/>
        <v>20250</v>
      </c>
    </row>
    <row r="10" spans="1:14">
      <c r="A10" s="73">
        <v>44660</v>
      </c>
      <c r="B10" s="18" t="s">
        <v>431</v>
      </c>
      <c r="C10" s="18" t="s">
        <v>430</v>
      </c>
      <c r="D10" s="57">
        <v>150</v>
      </c>
      <c r="E10" s="57">
        <v>160</v>
      </c>
      <c r="F10" s="18" t="s">
        <v>397</v>
      </c>
      <c r="G10" s="18" t="s">
        <v>429</v>
      </c>
      <c r="H10" s="18" t="s">
        <v>428</v>
      </c>
      <c r="I10" s="18" t="s">
        <v>479</v>
      </c>
      <c r="J10" s="18" t="s">
        <v>426</v>
      </c>
      <c r="K10" s="57">
        <v>800</v>
      </c>
      <c r="L10" s="57">
        <f t="shared" si="1"/>
        <v>128000</v>
      </c>
      <c r="M10" s="57">
        <f t="shared" si="0"/>
        <v>6400</v>
      </c>
      <c r="N10" s="57">
        <f t="shared" si="2"/>
        <v>1600</v>
      </c>
    </row>
    <row r="11" spans="1:14">
      <c r="A11" s="73">
        <v>44661</v>
      </c>
      <c r="B11" s="18" t="s">
        <v>425</v>
      </c>
      <c r="C11" s="18" t="s">
        <v>424</v>
      </c>
      <c r="D11" s="57">
        <v>50</v>
      </c>
      <c r="E11" s="57">
        <v>60</v>
      </c>
      <c r="F11" s="18" t="s">
        <v>397</v>
      </c>
      <c r="G11" s="18" t="s">
        <v>423</v>
      </c>
      <c r="H11" s="18" t="s">
        <v>422</v>
      </c>
      <c r="I11" s="18" t="s">
        <v>478</v>
      </c>
      <c r="J11" s="18" t="s">
        <v>420</v>
      </c>
      <c r="K11" s="57">
        <v>1700</v>
      </c>
      <c r="L11" s="57">
        <f t="shared" si="1"/>
        <v>102000</v>
      </c>
      <c r="M11" s="57">
        <f t="shared" si="0"/>
        <v>5100</v>
      </c>
      <c r="N11" s="57">
        <f t="shared" si="2"/>
        <v>11900</v>
      </c>
    </row>
    <row r="12" spans="1:14">
      <c r="A12" s="73">
        <v>44662</v>
      </c>
      <c r="B12" s="18" t="s">
        <v>443</v>
      </c>
      <c r="C12" s="18" t="s">
        <v>442</v>
      </c>
      <c r="D12" s="57">
        <v>50</v>
      </c>
      <c r="E12" s="57">
        <v>55</v>
      </c>
      <c r="F12" s="18" t="s">
        <v>396</v>
      </c>
      <c r="G12" s="18" t="s">
        <v>412</v>
      </c>
      <c r="H12" s="18" t="s">
        <v>452</v>
      </c>
      <c r="I12" s="18" t="s">
        <v>477</v>
      </c>
      <c r="J12" s="18" t="s">
        <v>450</v>
      </c>
      <c r="K12" s="57">
        <v>650</v>
      </c>
      <c r="L12" s="57">
        <f t="shared" si="1"/>
        <v>35750</v>
      </c>
      <c r="M12" s="57">
        <f t="shared" si="0"/>
        <v>1787.5</v>
      </c>
      <c r="N12" s="57">
        <f t="shared" si="2"/>
        <v>1462.5</v>
      </c>
    </row>
    <row r="13" spans="1:14">
      <c r="A13" s="73">
        <v>44663</v>
      </c>
      <c r="B13" s="18" t="s">
        <v>441</v>
      </c>
      <c r="C13" s="18" t="s">
        <v>440</v>
      </c>
      <c r="D13" s="57">
        <v>15</v>
      </c>
      <c r="E13" s="57">
        <v>20</v>
      </c>
      <c r="F13" s="18" t="s">
        <v>396</v>
      </c>
      <c r="G13" s="18" t="s">
        <v>411</v>
      </c>
      <c r="H13" s="18" t="s">
        <v>461</v>
      </c>
      <c r="I13" s="18" t="s">
        <v>476</v>
      </c>
      <c r="J13" s="18" t="s">
        <v>459</v>
      </c>
      <c r="K13" s="57">
        <v>780</v>
      </c>
      <c r="L13" s="57">
        <f t="shared" si="1"/>
        <v>15600</v>
      </c>
      <c r="M13" s="57">
        <f t="shared" si="0"/>
        <v>780</v>
      </c>
      <c r="N13" s="57">
        <f t="shared" si="2"/>
        <v>3120</v>
      </c>
    </row>
    <row r="14" spans="1:14">
      <c r="A14" s="73">
        <v>44664</v>
      </c>
      <c r="B14" s="18" t="s">
        <v>436</v>
      </c>
      <c r="C14" s="18" t="s">
        <v>435</v>
      </c>
      <c r="D14" s="57">
        <v>12</v>
      </c>
      <c r="E14" s="57">
        <v>15</v>
      </c>
      <c r="F14" s="18" t="s">
        <v>396</v>
      </c>
      <c r="G14" s="18" t="s">
        <v>429</v>
      </c>
      <c r="H14" s="18" t="s">
        <v>475</v>
      </c>
      <c r="I14" s="18" t="s">
        <v>474</v>
      </c>
      <c r="J14" s="18" t="s">
        <v>473</v>
      </c>
      <c r="K14" s="57">
        <v>820</v>
      </c>
      <c r="L14" s="57">
        <f t="shared" si="1"/>
        <v>12300</v>
      </c>
      <c r="M14" s="57">
        <f t="shared" si="0"/>
        <v>615</v>
      </c>
      <c r="N14" s="57">
        <f t="shared" si="2"/>
        <v>1845</v>
      </c>
    </row>
    <row r="15" spans="1:14">
      <c r="A15" s="73">
        <v>44665</v>
      </c>
      <c r="B15" s="18" t="s">
        <v>431</v>
      </c>
      <c r="C15" s="18" t="s">
        <v>430</v>
      </c>
      <c r="D15" s="57">
        <v>150</v>
      </c>
      <c r="E15" s="57">
        <v>160</v>
      </c>
      <c r="F15" s="18" t="s">
        <v>396</v>
      </c>
      <c r="G15" s="18" t="s">
        <v>423</v>
      </c>
      <c r="H15" s="18" t="s">
        <v>472</v>
      </c>
      <c r="I15" s="18" t="s">
        <v>471</v>
      </c>
      <c r="J15" s="18" t="s">
        <v>470</v>
      </c>
      <c r="K15" s="57">
        <v>780</v>
      </c>
      <c r="L15" s="57">
        <f t="shared" si="1"/>
        <v>124800</v>
      </c>
      <c r="M15" s="57">
        <f t="shared" si="0"/>
        <v>6240</v>
      </c>
      <c r="N15" s="57">
        <f t="shared" si="2"/>
        <v>1560</v>
      </c>
    </row>
    <row r="16" spans="1:14">
      <c r="A16" s="73">
        <v>44666</v>
      </c>
      <c r="B16" s="18" t="s">
        <v>425</v>
      </c>
      <c r="C16" s="18" t="s">
        <v>424</v>
      </c>
      <c r="D16" s="57">
        <v>50</v>
      </c>
      <c r="E16" s="57">
        <v>60</v>
      </c>
      <c r="F16" s="18" t="s">
        <v>396</v>
      </c>
      <c r="G16" s="18" t="s">
        <v>412</v>
      </c>
      <c r="H16" s="18" t="s">
        <v>469</v>
      </c>
      <c r="I16" s="18" t="s">
        <v>468</v>
      </c>
      <c r="J16" s="18" t="s">
        <v>467</v>
      </c>
      <c r="K16" s="57">
        <v>850</v>
      </c>
      <c r="L16" s="57">
        <f t="shared" si="1"/>
        <v>51000</v>
      </c>
      <c r="M16" s="57">
        <f t="shared" si="0"/>
        <v>2550</v>
      </c>
      <c r="N16" s="57">
        <f t="shared" si="2"/>
        <v>5950</v>
      </c>
    </row>
    <row r="17" spans="1:14">
      <c r="A17" s="73">
        <v>44667</v>
      </c>
      <c r="B17" s="18" t="s">
        <v>443</v>
      </c>
      <c r="C17" s="18" t="s">
        <v>442</v>
      </c>
      <c r="D17" s="57">
        <v>50</v>
      </c>
      <c r="E17" s="57">
        <v>55</v>
      </c>
      <c r="F17" s="18" t="s">
        <v>395</v>
      </c>
      <c r="G17" s="18" t="s">
        <v>411</v>
      </c>
      <c r="H17" s="18" t="s">
        <v>449</v>
      </c>
      <c r="I17" s="18" t="s">
        <v>466</v>
      </c>
      <c r="J17" s="18" t="s">
        <v>447</v>
      </c>
      <c r="K17" s="57">
        <v>980</v>
      </c>
      <c r="L17" s="57">
        <f t="shared" si="1"/>
        <v>53900</v>
      </c>
      <c r="M17" s="57">
        <f t="shared" si="0"/>
        <v>2695</v>
      </c>
      <c r="N17" s="57">
        <f t="shared" si="2"/>
        <v>2205</v>
      </c>
    </row>
    <row r="18" spans="1:14">
      <c r="A18" s="73">
        <v>44668</v>
      </c>
      <c r="B18" s="18" t="s">
        <v>441</v>
      </c>
      <c r="C18" s="18" t="s">
        <v>440</v>
      </c>
      <c r="D18" s="57">
        <v>15</v>
      </c>
      <c r="E18" s="57">
        <v>20</v>
      </c>
      <c r="F18" s="18" t="s">
        <v>395</v>
      </c>
      <c r="G18" s="18" t="s">
        <v>429</v>
      </c>
      <c r="H18" s="18" t="s">
        <v>458</v>
      </c>
      <c r="I18" s="18" t="s">
        <v>457</v>
      </c>
      <c r="J18" s="18" t="s">
        <v>465</v>
      </c>
      <c r="K18" s="57">
        <v>900</v>
      </c>
      <c r="L18" s="57">
        <f t="shared" si="1"/>
        <v>18000</v>
      </c>
      <c r="M18" s="57">
        <f t="shared" si="0"/>
        <v>900</v>
      </c>
      <c r="N18" s="57">
        <f t="shared" si="2"/>
        <v>3600</v>
      </c>
    </row>
    <row r="19" spans="1:14">
      <c r="A19" s="73">
        <v>44669</v>
      </c>
      <c r="B19" s="18" t="s">
        <v>436</v>
      </c>
      <c r="C19" s="18" t="s">
        <v>435</v>
      </c>
      <c r="D19" s="57">
        <v>12</v>
      </c>
      <c r="E19" s="57">
        <v>15</v>
      </c>
      <c r="F19" s="18" t="s">
        <v>395</v>
      </c>
      <c r="G19" s="18" t="s">
        <v>423</v>
      </c>
      <c r="H19" s="18" t="s">
        <v>455</v>
      </c>
      <c r="I19" s="18" t="s">
        <v>464</v>
      </c>
      <c r="J19" s="18" t="s">
        <v>453</v>
      </c>
      <c r="K19" s="57">
        <v>656</v>
      </c>
      <c r="L19" s="57">
        <f t="shared" si="1"/>
        <v>9840</v>
      </c>
      <c r="M19" s="57">
        <f t="shared" si="0"/>
        <v>492</v>
      </c>
      <c r="N19" s="57">
        <f t="shared" si="2"/>
        <v>1476</v>
      </c>
    </row>
    <row r="20" spans="1:14">
      <c r="A20" s="73">
        <v>44670</v>
      </c>
      <c r="B20" s="18" t="s">
        <v>431</v>
      </c>
      <c r="C20" s="18" t="s">
        <v>430</v>
      </c>
      <c r="D20" s="57">
        <v>150</v>
      </c>
      <c r="E20" s="57">
        <v>160</v>
      </c>
      <c r="F20" s="18" t="s">
        <v>395</v>
      </c>
      <c r="G20" s="18" t="s">
        <v>412</v>
      </c>
      <c r="H20" s="18" t="s">
        <v>463</v>
      </c>
      <c r="I20" s="18" t="s">
        <v>463</v>
      </c>
      <c r="J20" s="18" t="s">
        <v>462</v>
      </c>
      <c r="K20" s="57">
        <v>985</v>
      </c>
      <c r="L20" s="57">
        <f t="shared" si="1"/>
        <v>157600</v>
      </c>
      <c r="M20" s="57">
        <f t="shared" si="0"/>
        <v>7880</v>
      </c>
      <c r="N20" s="57">
        <f t="shared" si="2"/>
        <v>1970</v>
      </c>
    </row>
    <row r="21" spans="1:14">
      <c r="A21" s="73">
        <v>44671</v>
      </c>
      <c r="B21" s="18" t="s">
        <v>425</v>
      </c>
      <c r="C21" s="18" t="s">
        <v>424</v>
      </c>
      <c r="D21" s="57">
        <v>50</v>
      </c>
      <c r="E21" s="57">
        <v>60</v>
      </c>
      <c r="F21" s="18" t="s">
        <v>395</v>
      </c>
      <c r="G21" s="18" t="s">
        <v>411</v>
      </c>
      <c r="H21" s="18" t="s">
        <v>461</v>
      </c>
      <c r="I21" s="18" t="s">
        <v>460</v>
      </c>
      <c r="J21" s="18" t="s">
        <v>459</v>
      </c>
      <c r="K21" s="57">
        <v>658</v>
      </c>
      <c r="L21" s="57">
        <f t="shared" si="1"/>
        <v>39480</v>
      </c>
      <c r="M21" s="57">
        <f t="shared" si="0"/>
        <v>1974</v>
      </c>
      <c r="N21" s="57">
        <f t="shared" si="2"/>
        <v>4606</v>
      </c>
    </row>
    <row r="22" spans="1:14">
      <c r="A22" s="73">
        <v>44672</v>
      </c>
      <c r="B22" s="18" t="s">
        <v>443</v>
      </c>
      <c r="C22" s="18" t="s">
        <v>442</v>
      </c>
      <c r="D22" s="57">
        <v>50</v>
      </c>
      <c r="E22" s="57">
        <v>55</v>
      </c>
      <c r="F22" s="18" t="s">
        <v>393</v>
      </c>
      <c r="G22" s="18" t="s">
        <v>429</v>
      </c>
      <c r="H22" s="18" t="s">
        <v>458</v>
      </c>
      <c r="I22" s="18" t="s">
        <v>457</v>
      </c>
      <c r="J22" s="18" t="s">
        <v>456</v>
      </c>
      <c r="K22" s="57">
        <v>657</v>
      </c>
      <c r="L22" s="57">
        <f t="shared" si="1"/>
        <v>36135</v>
      </c>
      <c r="M22" s="57">
        <f t="shared" si="0"/>
        <v>1806.75</v>
      </c>
      <c r="N22" s="57">
        <f t="shared" si="2"/>
        <v>1478.25</v>
      </c>
    </row>
    <row r="23" spans="1:14">
      <c r="A23" s="73">
        <v>44673</v>
      </c>
      <c r="B23" s="18" t="s">
        <v>441</v>
      </c>
      <c r="C23" s="18" t="s">
        <v>440</v>
      </c>
      <c r="D23" s="57">
        <v>15</v>
      </c>
      <c r="E23" s="57">
        <v>20</v>
      </c>
      <c r="F23" s="18" t="s">
        <v>393</v>
      </c>
      <c r="G23" s="18" t="s">
        <v>423</v>
      </c>
      <c r="H23" s="18" t="s">
        <v>455</v>
      </c>
      <c r="I23" s="18" t="s">
        <v>454</v>
      </c>
      <c r="J23" s="18" t="s">
        <v>453</v>
      </c>
      <c r="K23" s="57">
        <v>895</v>
      </c>
      <c r="L23" s="57">
        <f t="shared" si="1"/>
        <v>17900</v>
      </c>
      <c r="M23" s="57">
        <f t="shared" si="0"/>
        <v>895</v>
      </c>
      <c r="N23" s="57">
        <f t="shared" si="2"/>
        <v>3580</v>
      </c>
    </row>
    <row r="24" spans="1:14">
      <c r="A24" s="73">
        <v>44674</v>
      </c>
      <c r="B24" s="18" t="s">
        <v>436</v>
      </c>
      <c r="C24" s="18" t="s">
        <v>435</v>
      </c>
      <c r="D24" s="57">
        <v>12</v>
      </c>
      <c r="E24" s="57">
        <v>15</v>
      </c>
      <c r="F24" s="18" t="s">
        <v>393</v>
      </c>
      <c r="G24" s="18" t="s">
        <v>412</v>
      </c>
      <c r="H24" s="18" t="s">
        <v>452</v>
      </c>
      <c r="I24" s="18" t="s">
        <v>451</v>
      </c>
      <c r="J24" s="18" t="s">
        <v>450</v>
      </c>
      <c r="K24" s="57">
        <v>856</v>
      </c>
      <c r="L24" s="57">
        <f t="shared" si="1"/>
        <v>12840</v>
      </c>
      <c r="M24" s="57">
        <f t="shared" si="0"/>
        <v>642</v>
      </c>
      <c r="N24" s="57">
        <f t="shared" si="2"/>
        <v>1926</v>
      </c>
    </row>
    <row r="25" spans="1:14">
      <c r="A25" s="73">
        <v>44675</v>
      </c>
      <c r="B25" s="18" t="s">
        <v>431</v>
      </c>
      <c r="C25" s="18" t="s">
        <v>430</v>
      </c>
      <c r="D25" s="57">
        <v>150</v>
      </c>
      <c r="E25" s="57">
        <v>160</v>
      </c>
      <c r="F25" s="18" t="s">
        <v>393</v>
      </c>
      <c r="G25" s="18" t="s">
        <v>411</v>
      </c>
      <c r="H25" s="18" t="s">
        <v>449</v>
      </c>
      <c r="I25" s="18" t="s">
        <v>448</v>
      </c>
      <c r="J25" s="18" t="s">
        <v>447</v>
      </c>
      <c r="K25" s="57">
        <v>985</v>
      </c>
      <c r="L25" s="57">
        <f t="shared" si="1"/>
        <v>157600</v>
      </c>
      <c r="M25" s="57">
        <f t="shared" si="0"/>
        <v>7880</v>
      </c>
      <c r="N25" s="57">
        <f t="shared" si="2"/>
        <v>1970</v>
      </c>
    </row>
    <row r="26" spans="1:14">
      <c r="A26" s="73">
        <v>44676</v>
      </c>
      <c r="B26" s="18" t="s">
        <v>425</v>
      </c>
      <c r="C26" s="18" t="s">
        <v>424</v>
      </c>
      <c r="D26" s="57">
        <v>50</v>
      </c>
      <c r="E26" s="57">
        <v>60</v>
      </c>
      <c r="F26" s="18" t="s">
        <v>393</v>
      </c>
      <c r="G26" s="18" t="s">
        <v>429</v>
      </c>
      <c r="H26" s="18" t="s">
        <v>446</v>
      </c>
      <c r="I26" s="18" t="s">
        <v>445</v>
      </c>
      <c r="J26" s="18" t="s">
        <v>444</v>
      </c>
      <c r="K26" s="57">
        <v>658</v>
      </c>
      <c r="L26" s="57">
        <f t="shared" si="1"/>
        <v>39480</v>
      </c>
      <c r="M26" s="57">
        <f t="shared" si="0"/>
        <v>1974</v>
      </c>
      <c r="N26" s="57">
        <f t="shared" si="2"/>
        <v>4606</v>
      </c>
    </row>
    <row r="27" spans="1:14">
      <c r="A27" s="73">
        <v>44677</v>
      </c>
      <c r="B27" s="18" t="s">
        <v>443</v>
      </c>
      <c r="C27" s="18" t="s">
        <v>442</v>
      </c>
      <c r="D27" s="57">
        <v>50</v>
      </c>
      <c r="E27" s="57">
        <v>55</v>
      </c>
      <c r="F27" s="18" t="s">
        <v>413</v>
      </c>
      <c r="G27" s="18" t="s">
        <v>423</v>
      </c>
      <c r="H27" s="18" t="s">
        <v>422</v>
      </c>
      <c r="I27" s="18" t="s">
        <v>421</v>
      </c>
      <c r="J27" s="18" t="s">
        <v>420</v>
      </c>
      <c r="K27" s="57">
        <v>896</v>
      </c>
      <c r="L27" s="57">
        <f t="shared" si="1"/>
        <v>49280</v>
      </c>
      <c r="M27" s="57">
        <f t="shared" si="0"/>
        <v>2464</v>
      </c>
      <c r="N27" s="57">
        <f t="shared" si="2"/>
        <v>2016</v>
      </c>
    </row>
    <row r="28" spans="1:14">
      <c r="A28" s="73">
        <v>44678</v>
      </c>
      <c r="B28" s="18" t="s">
        <v>441</v>
      </c>
      <c r="C28" s="18" t="s">
        <v>440</v>
      </c>
      <c r="D28" s="57">
        <v>15</v>
      </c>
      <c r="E28" s="57">
        <v>20</v>
      </c>
      <c r="F28" s="18" t="s">
        <v>413</v>
      </c>
      <c r="G28" s="18" t="s">
        <v>412</v>
      </c>
      <c r="H28" s="18" t="s">
        <v>439</v>
      </c>
      <c r="I28" s="18" t="s">
        <v>438</v>
      </c>
      <c r="J28" s="18" t="s">
        <v>437</v>
      </c>
      <c r="K28" s="57">
        <v>577</v>
      </c>
      <c r="L28" s="57">
        <f t="shared" si="1"/>
        <v>11540</v>
      </c>
      <c r="M28" s="57">
        <f t="shared" si="0"/>
        <v>577</v>
      </c>
      <c r="N28" s="57">
        <f t="shared" si="2"/>
        <v>2308</v>
      </c>
    </row>
    <row r="29" spans="1:14">
      <c r="A29" s="73">
        <v>44679</v>
      </c>
      <c r="B29" s="18" t="s">
        <v>436</v>
      </c>
      <c r="C29" s="18" t="s">
        <v>435</v>
      </c>
      <c r="D29" s="57">
        <v>12</v>
      </c>
      <c r="E29" s="57">
        <v>15</v>
      </c>
      <c r="F29" s="18" t="s">
        <v>413</v>
      </c>
      <c r="G29" s="18" t="s">
        <v>411</v>
      </c>
      <c r="H29" s="18" t="s">
        <v>434</v>
      </c>
      <c r="I29" s="18" t="s">
        <v>433</v>
      </c>
      <c r="J29" s="18" t="s">
        <v>432</v>
      </c>
      <c r="K29" s="57">
        <v>987</v>
      </c>
      <c r="L29" s="57">
        <f t="shared" si="1"/>
        <v>14805</v>
      </c>
      <c r="M29" s="57">
        <f t="shared" si="0"/>
        <v>740.25</v>
      </c>
      <c r="N29" s="57">
        <f t="shared" si="2"/>
        <v>2220.75</v>
      </c>
    </row>
    <row r="30" spans="1:14">
      <c r="A30" s="73">
        <v>44680</v>
      </c>
      <c r="B30" s="18" t="s">
        <v>431</v>
      </c>
      <c r="C30" s="18" t="s">
        <v>430</v>
      </c>
      <c r="D30" s="57">
        <v>150</v>
      </c>
      <c r="E30" s="57">
        <v>160</v>
      </c>
      <c r="F30" s="18" t="s">
        <v>413</v>
      </c>
      <c r="G30" s="18" t="s">
        <v>429</v>
      </c>
      <c r="H30" s="18" t="s">
        <v>428</v>
      </c>
      <c r="I30" s="18" t="s">
        <v>427</v>
      </c>
      <c r="J30" s="18" t="s">
        <v>426</v>
      </c>
      <c r="K30" s="57">
        <v>897</v>
      </c>
      <c r="L30" s="57">
        <f t="shared" si="1"/>
        <v>143520</v>
      </c>
      <c r="M30" s="57">
        <f t="shared" si="0"/>
        <v>7176</v>
      </c>
      <c r="N30" s="57">
        <f t="shared" si="2"/>
        <v>1794</v>
      </c>
    </row>
    <row r="31" spans="1:14">
      <c r="A31" s="73">
        <v>44681</v>
      </c>
      <c r="B31" s="18" t="s">
        <v>425</v>
      </c>
      <c r="C31" s="18" t="s">
        <v>424</v>
      </c>
      <c r="D31" s="57">
        <v>50</v>
      </c>
      <c r="E31" s="57">
        <v>60</v>
      </c>
      <c r="F31" s="18" t="s">
        <v>413</v>
      </c>
      <c r="G31" s="18" t="s">
        <v>423</v>
      </c>
      <c r="H31" s="18" t="s">
        <v>422</v>
      </c>
      <c r="I31" s="18" t="s">
        <v>421</v>
      </c>
      <c r="J31" s="18" t="s">
        <v>420</v>
      </c>
      <c r="K31" s="57">
        <v>852</v>
      </c>
      <c r="L31" s="57">
        <f t="shared" si="1"/>
        <v>51120</v>
      </c>
      <c r="M31" s="57">
        <f t="shared" si="0"/>
        <v>2556</v>
      </c>
      <c r="N31" s="57">
        <f t="shared" si="2"/>
        <v>5964</v>
      </c>
    </row>
  </sheetData>
  <customSheetViews>
    <customSheetView guid="{BBE43EB8-AC5B-419E-90E4-72D0C525AF66}">
      <selection activeCell="C10" sqref="C10"/>
      <pageMargins left="0.75" right="0.75" top="1" bottom="1" header="0.5" footer="0.5"/>
      <headerFooter alignWithMargins="0"/>
    </customSheetView>
  </customSheetView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11</vt:i4>
      </vt:variant>
    </vt:vector>
  </HeadingPairs>
  <TitlesOfParts>
    <vt:vector size="51" baseType="lpstr">
      <vt:lpstr>Functions</vt:lpstr>
      <vt:lpstr>Rating</vt:lpstr>
      <vt:lpstr>Income Tax</vt:lpstr>
      <vt:lpstr>Sales</vt:lpstr>
      <vt:lpstr>Single Formula</vt:lpstr>
      <vt:lpstr>Restricting Data Entry</vt:lpstr>
      <vt:lpstr>Date Conversions</vt:lpstr>
      <vt:lpstr>Employee Age Calculation</vt:lpstr>
      <vt:lpstr>Text Cleanup</vt:lpstr>
      <vt:lpstr>Project End Date</vt:lpstr>
      <vt:lpstr>Project Working Days</vt:lpstr>
      <vt:lpstr>Extract Data</vt:lpstr>
      <vt:lpstr>Index+Match</vt:lpstr>
      <vt:lpstr>Data Set 1</vt:lpstr>
      <vt:lpstr>Data Set 2</vt:lpstr>
      <vt:lpstr>Data Set3</vt:lpstr>
      <vt:lpstr>Final Data</vt:lpstr>
      <vt:lpstr>IS Functions</vt:lpstr>
      <vt:lpstr>Random Numbers &amp; Rank</vt:lpstr>
      <vt:lpstr>Simple Offset</vt:lpstr>
      <vt:lpstr>Tax Rate</vt:lpstr>
      <vt:lpstr>Text Functions</vt:lpstr>
      <vt:lpstr>Filters</vt:lpstr>
      <vt:lpstr>Calculate EMI</vt:lpstr>
      <vt:lpstr>Ref</vt:lpstr>
      <vt:lpstr>Product Costing</vt:lpstr>
      <vt:lpstr>General</vt:lpstr>
      <vt:lpstr>Multiple Criteria Totals</vt:lpstr>
      <vt:lpstr>Sheet4</vt:lpstr>
      <vt:lpstr>Macro</vt:lpstr>
      <vt:lpstr>One variable table</vt:lpstr>
      <vt:lpstr>Two Variable Table</vt:lpstr>
      <vt:lpstr>Group_Ungroup_Subtotal</vt:lpstr>
      <vt:lpstr>Dependent Filters</vt:lpstr>
      <vt:lpstr>Conditional Formatting (I)</vt:lpstr>
      <vt:lpstr>Conditional Formatting (II)</vt:lpstr>
      <vt:lpstr>Sheet3</vt:lpstr>
      <vt:lpstr>Sheet2</vt:lpstr>
      <vt:lpstr>Sheet1</vt:lpstr>
      <vt:lpstr>Pivot Table</vt:lpstr>
      <vt:lpstr>Col</vt:lpstr>
      <vt:lpstr>Column</vt:lpstr>
      <vt:lpstr>Columns</vt:lpstr>
      <vt:lpstr>Finance</vt:lpstr>
      <vt:lpstr>Healthcare</vt:lpstr>
      <vt:lpstr>HR</vt:lpstr>
      <vt:lpstr>IT</vt:lpstr>
      <vt:lpstr>Marketing</vt:lpstr>
      <vt:lpstr>Tab_1</vt:lpstr>
      <vt:lpstr>Tab_2</vt:lpstr>
      <vt:lpstr>Tab_3</vt:lpstr>
    </vt:vector>
  </TitlesOfParts>
  <Company>Knowledge Capital Solutions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Jayanth</dc:creator>
  <cp:lastModifiedBy>ADMIN</cp:lastModifiedBy>
  <dcterms:created xsi:type="dcterms:W3CDTF">2011-11-05T05:37:51Z</dcterms:created>
  <dcterms:modified xsi:type="dcterms:W3CDTF">2022-09-28T17:28:57Z</dcterms:modified>
</cp:coreProperties>
</file>